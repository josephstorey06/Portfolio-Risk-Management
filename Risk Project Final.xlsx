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V\"/>
    </mc:Choice>
  </mc:AlternateContent>
  <xr:revisionPtr revIDLastSave="0" documentId="8_{099A1907-62DB-45C5-BC4D-173144EBEF1C}" xr6:coauthVersionLast="47" xr6:coauthVersionMax="47" xr10:uidLastSave="{00000000-0000-0000-0000-000000000000}"/>
  <bookViews>
    <workbookView xWindow="19200" yWindow="0" windowWidth="18960" windowHeight="21000" xr2:uid="{9D2A00BD-8764-40FC-8A89-52F4A6114090}"/>
  </bookViews>
  <sheets>
    <sheet name="Dashboard" sheetId="1" r:id="rId1"/>
    <sheet name="Inputs" sheetId="2" r:id="rId2"/>
    <sheet name="Prices" sheetId="3" r:id="rId3"/>
    <sheet name="Returns" sheetId="4" r:id="rId4"/>
    <sheet name="Risk Analysis" sheetId="5" r:id="rId5"/>
    <sheet name="Stress Tes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5" i="1" l="1"/>
  <c r="C84" i="1"/>
  <c r="K11" i="5"/>
  <c r="K12" i="5"/>
  <c r="K13" i="5"/>
  <c r="K14" i="5"/>
  <c r="K10" i="5"/>
  <c r="L14" i="5"/>
  <c r="L13" i="5"/>
  <c r="L12" i="5"/>
  <c r="L11" i="5"/>
  <c r="L10" i="5"/>
  <c r="C5" i="1"/>
  <c r="C8" i="1" s="1"/>
  <c r="I4" i="6"/>
  <c r="I5" i="6"/>
  <c r="I7" i="6"/>
  <c r="I8" i="6"/>
  <c r="I3" i="6"/>
  <c r="H4" i="6"/>
  <c r="H5" i="6"/>
  <c r="H6" i="6"/>
  <c r="I6" i="6" s="1"/>
  <c r="H7" i="6"/>
  <c r="H8" i="6"/>
  <c r="H3" i="6"/>
  <c r="G12" i="5"/>
  <c r="F12" i="5"/>
  <c r="G11" i="5"/>
  <c r="F11" i="5"/>
  <c r="G10" i="5"/>
  <c r="F10" i="5"/>
  <c r="I2" i="4"/>
  <c r="P7" i="5"/>
  <c r="Q6" i="5"/>
  <c r="O7" i="5"/>
  <c r="Q5" i="5"/>
  <c r="O6" i="5"/>
  <c r="P5" i="5"/>
  <c r="O5" i="5"/>
  <c r="N7" i="5"/>
  <c r="N6" i="5"/>
  <c r="N5" i="5"/>
  <c r="Q4" i="5"/>
  <c r="P4" i="5"/>
  <c r="O4" i="5"/>
  <c r="N4" i="5"/>
  <c r="M7" i="5"/>
  <c r="M6" i="5"/>
  <c r="M5" i="5"/>
  <c r="M4" i="5"/>
  <c r="Q3" i="5"/>
  <c r="O3" i="5"/>
  <c r="N3" i="5"/>
  <c r="M3" i="5" s="1"/>
  <c r="P3" i="5"/>
  <c r="G3" i="5"/>
  <c r="H3" i="5"/>
  <c r="I3" i="5"/>
  <c r="J3" i="5"/>
  <c r="F4" i="5"/>
  <c r="I4" i="5"/>
  <c r="J4" i="5"/>
  <c r="G5" i="5"/>
  <c r="I5" i="5"/>
  <c r="J5" i="5"/>
  <c r="J6" i="5"/>
  <c r="C7" i="5"/>
  <c r="C6" i="5"/>
  <c r="C5" i="5"/>
  <c r="C4" i="5"/>
  <c r="C3" i="5"/>
  <c r="G3" i="4"/>
  <c r="H3" i="4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F1256" i="4"/>
  <c r="E1256" i="4"/>
  <c r="D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1256" i="4"/>
  <c r="I3" i="4" l="1"/>
  <c r="J3" i="4" s="1"/>
  <c r="J2" i="4"/>
  <c r="C10" i="5"/>
  <c r="C11" i="5" s="1"/>
  <c r="H4" i="4"/>
  <c r="H5" i="4" l="1"/>
  <c r="I4" i="4"/>
  <c r="I5" i="4" s="1"/>
  <c r="J4" i="4" l="1"/>
  <c r="H6" i="4"/>
  <c r="J5" i="4"/>
  <c r="H7" i="4" l="1"/>
  <c r="I6" i="4"/>
  <c r="I7" i="4" s="1"/>
  <c r="J6" i="4" l="1"/>
  <c r="H8" i="4"/>
  <c r="J7" i="4"/>
  <c r="H9" i="4" l="1"/>
  <c r="I8" i="4"/>
  <c r="I9" i="4" s="1"/>
  <c r="J8" i="4" l="1"/>
  <c r="H10" i="4"/>
  <c r="J9" i="4"/>
  <c r="H11" i="4" l="1"/>
  <c r="I10" i="4"/>
  <c r="I11" i="4" s="1"/>
  <c r="J10" i="4" l="1"/>
  <c r="H12" i="4"/>
  <c r="J11" i="4"/>
  <c r="H13" i="4" l="1"/>
  <c r="I12" i="4"/>
  <c r="I13" i="4" s="1"/>
  <c r="J12" i="4" l="1"/>
  <c r="H14" i="4"/>
  <c r="J13" i="4"/>
  <c r="H15" i="4" l="1"/>
  <c r="I14" i="4"/>
  <c r="I15" i="4" s="1"/>
  <c r="J14" i="4" l="1"/>
  <c r="H16" i="4"/>
  <c r="J15" i="4"/>
  <c r="H17" i="4" l="1"/>
  <c r="I16" i="4"/>
  <c r="I17" i="4" s="1"/>
  <c r="J16" i="4" l="1"/>
  <c r="H18" i="4"/>
  <c r="J17" i="4"/>
  <c r="H19" i="4" l="1"/>
  <c r="I18" i="4"/>
  <c r="I19" i="4" s="1"/>
  <c r="J18" i="4" l="1"/>
  <c r="H20" i="4"/>
  <c r="J19" i="4"/>
  <c r="H21" i="4" l="1"/>
  <c r="I20" i="4"/>
  <c r="I21" i="4" s="1"/>
  <c r="J20" i="4" l="1"/>
  <c r="H22" i="4"/>
  <c r="J21" i="4"/>
  <c r="H23" i="4" l="1"/>
  <c r="I22" i="4"/>
  <c r="I23" i="4" s="1"/>
  <c r="J22" i="4" l="1"/>
  <c r="H24" i="4"/>
  <c r="I24" i="4" s="1"/>
  <c r="J23" i="4"/>
  <c r="H25" i="4" l="1"/>
  <c r="J24" i="4"/>
  <c r="H26" i="4" l="1"/>
  <c r="I25" i="4"/>
  <c r="I26" i="4" s="1"/>
  <c r="J25" i="4" l="1"/>
  <c r="H27" i="4"/>
  <c r="J26" i="4"/>
  <c r="H28" i="4" l="1"/>
  <c r="I27" i="4"/>
  <c r="I28" i="4" s="1"/>
  <c r="J27" i="4" l="1"/>
  <c r="H29" i="4"/>
  <c r="J28" i="4"/>
  <c r="H30" i="4" l="1"/>
  <c r="I29" i="4"/>
  <c r="I30" i="4" s="1"/>
  <c r="J29" i="4" l="1"/>
  <c r="H31" i="4"/>
  <c r="J30" i="4"/>
  <c r="H32" i="4" l="1"/>
  <c r="I31" i="4"/>
  <c r="I32" i="4" s="1"/>
  <c r="J31" i="4" l="1"/>
  <c r="H33" i="4"/>
  <c r="J32" i="4"/>
  <c r="H34" i="4" l="1"/>
  <c r="I33" i="4"/>
  <c r="I34" i="4" s="1"/>
  <c r="J33" i="4" l="1"/>
  <c r="H35" i="4"/>
  <c r="J34" i="4"/>
  <c r="H36" i="4" l="1"/>
  <c r="I35" i="4"/>
  <c r="I36" i="4" s="1"/>
  <c r="J35" i="4" l="1"/>
  <c r="H37" i="4"/>
  <c r="I37" i="4" s="1"/>
  <c r="J36" i="4"/>
  <c r="H38" i="4" l="1"/>
  <c r="J37" i="4"/>
  <c r="I38" i="4"/>
  <c r="H39" i="4" l="1"/>
  <c r="J38" i="4"/>
  <c r="H40" i="4" l="1"/>
  <c r="I39" i="4"/>
  <c r="I40" i="4" s="1"/>
  <c r="J39" i="4" l="1"/>
  <c r="H41" i="4"/>
  <c r="J40" i="4"/>
  <c r="H42" i="4" l="1"/>
  <c r="I41" i="4"/>
  <c r="I42" i="4" s="1"/>
  <c r="J41" i="4" l="1"/>
  <c r="H43" i="4"/>
  <c r="J42" i="4"/>
  <c r="H44" i="4" l="1"/>
  <c r="I43" i="4"/>
  <c r="I44" i="4" s="1"/>
  <c r="J43" i="4" l="1"/>
  <c r="H45" i="4"/>
  <c r="I45" i="4" s="1"/>
  <c r="J44" i="4"/>
  <c r="H46" i="4" l="1"/>
  <c r="J45" i="4"/>
  <c r="H47" i="4" l="1"/>
  <c r="I46" i="4"/>
  <c r="I47" i="4" s="1"/>
  <c r="J46" i="4" l="1"/>
  <c r="H48" i="4"/>
  <c r="J47" i="4"/>
  <c r="H49" i="4" l="1"/>
  <c r="I48" i="4"/>
  <c r="I49" i="4" s="1"/>
  <c r="J48" i="4" l="1"/>
  <c r="H50" i="4"/>
  <c r="J49" i="4"/>
  <c r="H51" i="4" l="1"/>
  <c r="I50" i="4"/>
  <c r="I51" i="4" s="1"/>
  <c r="J50" i="4" l="1"/>
  <c r="I52" i="4"/>
  <c r="H52" i="4"/>
  <c r="J51" i="4"/>
  <c r="H53" i="4" l="1"/>
  <c r="J52" i="4"/>
  <c r="I53" i="4"/>
  <c r="H54" i="4" l="1"/>
  <c r="J53" i="4"/>
  <c r="H55" i="4" l="1"/>
  <c r="I54" i="4"/>
  <c r="I55" i="4" s="1"/>
  <c r="J54" i="4" l="1"/>
  <c r="H56" i="4"/>
  <c r="J55" i="4"/>
  <c r="H57" i="4" l="1"/>
  <c r="I56" i="4"/>
  <c r="I57" i="4" s="1"/>
  <c r="J56" i="4" l="1"/>
  <c r="H58" i="4"/>
  <c r="J57" i="4"/>
  <c r="H59" i="4" l="1"/>
  <c r="I58" i="4"/>
  <c r="I59" i="4" s="1"/>
  <c r="J58" i="4" l="1"/>
  <c r="H60" i="4"/>
  <c r="J59" i="4"/>
  <c r="H61" i="4" l="1"/>
  <c r="I60" i="4"/>
  <c r="I61" i="4" s="1"/>
  <c r="J60" i="4" l="1"/>
  <c r="H62" i="4"/>
  <c r="J61" i="4"/>
  <c r="H63" i="4" l="1"/>
  <c r="I62" i="4"/>
  <c r="I63" i="4" s="1"/>
  <c r="J62" i="4" l="1"/>
  <c r="H64" i="4"/>
  <c r="J63" i="4"/>
  <c r="H65" i="4" l="1"/>
  <c r="I64" i="4"/>
  <c r="I65" i="4" s="1"/>
  <c r="J64" i="4" l="1"/>
  <c r="H66" i="4"/>
  <c r="J65" i="4"/>
  <c r="H67" i="4" l="1"/>
  <c r="I66" i="4"/>
  <c r="I67" i="4" s="1"/>
  <c r="J66" i="4" l="1"/>
  <c r="H68" i="4"/>
  <c r="J67" i="4"/>
  <c r="H69" i="4" l="1"/>
  <c r="I68" i="4"/>
  <c r="I69" i="4" s="1"/>
  <c r="J68" i="4" l="1"/>
  <c r="H70" i="4"/>
  <c r="J69" i="4"/>
  <c r="H71" i="4" l="1"/>
  <c r="I70" i="4"/>
  <c r="I71" i="4" s="1"/>
  <c r="J70" i="4" l="1"/>
  <c r="H72" i="4"/>
  <c r="J71" i="4"/>
  <c r="H73" i="4" l="1"/>
  <c r="I72" i="4"/>
  <c r="I73" i="4" s="1"/>
  <c r="J72" i="4" l="1"/>
  <c r="H74" i="4"/>
  <c r="J73" i="4"/>
  <c r="H75" i="4" l="1"/>
  <c r="I74" i="4"/>
  <c r="I75" i="4" s="1"/>
  <c r="J74" i="4" l="1"/>
  <c r="H76" i="4"/>
  <c r="J75" i="4"/>
  <c r="H77" i="4" l="1"/>
  <c r="I76" i="4"/>
  <c r="I77" i="4" s="1"/>
  <c r="J76" i="4" l="1"/>
  <c r="H78" i="4"/>
  <c r="J77" i="4"/>
  <c r="H79" i="4" l="1"/>
  <c r="I78" i="4"/>
  <c r="I79" i="4" s="1"/>
  <c r="J78" i="4" l="1"/>
  <c r="H80" i="4"/>
  <c r="J79" i="4"/>
  <c r="H81" i="4" l="1"/>
  <c r="I80" i="4"/>
  <c r="I81" i="4" s="1"/>
  <c r="J80" i="4" l="1"/>
  <c r="H82" i="4"/>
  <c r="J81" i="4"/>
  <c r="H83" i="4" l="1"/>
  <c r="I82" i="4"/>
  <c r="I83" i="4" s="1"/>
  <c r="J82" i="4" l="1"/>
  <c r="H84" i="4"/>
  <c r="J83" i="4"/>
  <c r="H85" i="4" l="1"/>
  <c r="I84" i="4"/>
  <c r="I85" i="4" s="1"/>
  <c r="J84" i="4" l="1"/>
  <c r="H86" i="4"/>
  <c r="J85" i="4"/>
  <c r="H87" i="4" l="1"/>
  <c r="I86" i="4"/>
  <c r="I87" i="4" s="1"/>
  <c r="J86" i="4" l="1"/>
  <c r="H88" i="4"/>
  <c r="J87" i="4"/>
  <c r="H89" i="4" l="1"/>
  <c r="I88" i="4"/>
  <c r="I89" i="4" s="1"/>
  <c r="J88" i="4" l="1"/>
  <c r="H90" i="4"/>
  <c r="J89" i="4"/>
  <c r="H91" i="4" l="1"/>
  <c r="I90" i="4"/>
  <c r="I91" i="4" s="1"/>
  <c r="J90" i="4" l="1"/>
  <c r="H92" i="4"/>
  <c r="J91" i="4"/>
  <c r="H93" i="4" l="1"/>
  <c r="I92" i="4"/>
  <c r="I93" i="4" s="1"/>
  <c r="J92" i="4" l="1"/>
  <c r="H94" i="4"/>
  <c r="J93" i="4"/>
  <c r="H95" i="4" l="1"/>
  <c r="I94" i="4"/>
  <c r="I95" i="4" s="1"/>
  <c r="J94" i="4" l="1"/>
  <c r="H96" i="4"/>
  <c r="J95" i="4"/>
  <c r="H97" i="4" l="1"/>
  <c r="I96" i="4"/>
  <c r="I97" i="4" s="1"/>
  <c r="J96" i="4" l="1"/>
  <c r="H98" i="4"/>
  <c r="J97" i="4"/>
  <c r="H99" i="4" l="1"/>
  <c r="I98" i="4"/>
  <c r="I99" i="4" s="1"/>
  <c r="J98" i="4" l="1"/>
  <c r="H100" i="4"/>
  <c r="J99" i="4"/>
  <c r="H101" i="4" l="1"/>
  <c r="I100" i="4"/>
  <c r="I101" i="4" s="1"/>
  <c r="J100" i="4" l="1"/>
  <c r="H102" i="4"/>
  <c r="J101" i="4"/>
  <c r="H103" i="4" l="1"/>
  <c r="I102" i="4"/>
  <c r="I103" i="4" s="1"/>
  <c r="J102" i="4" l="1"/>
  <c r="H104" i="4"/>
  <c r="J103" i="4"/>
  <c r="H105" i="4" l="1"/>
  <c r="I104" i="4"/>
  <c r="I105" i="4" s="1"/>
  <c r="J104" i="4" l="1"/>
  <c r="H106" i="4"/>
  <c r="J105" i="4"/>
  <c r="H107" i="4" l="1"/>
  <c r="I106" i="4"/>
  <c r="I107" i="4" s="1"/>
  <c r="J106" i="4" l="1"/>
  <c r="H108" i="4"/>
  <c r="J107" i="4"/>
  <c r="H109" i="4" l="1"/>
  <c r="I108" i="4"/>
  <c r="I109" i="4" s="1"/>
  <c r="J108" i="4" l="1"/>
  <c r="H110" i="4"/>
  <c r="J109" i="4"/>
  <c r="H111" i="4" l="1"/>
  <c r="I110" i="4"/>
  <c r="I111" i="4" s="1"/>
  <c r="J110" i="4" l="1"/>
  <c r="H112" i="4"/>
  <c r="J111" i="4"/>
  <c r="H113" i="4" l="1"/>
  <c r="I112" i="4"/>
  <c r="I113" i="4" s="1"/>
  <c r="J112" i="4" l="1"/>
  <c r="H114" i="4"/>
  <c r="J113" i="4"/>
  <c r="H115" i="4" l="1"/>
  <c r="I114" i="4"/>
  <c r="I115" i="4" s="1"/>
  <c r="J114" i="4" l="1"/>
  <c r="H116" i="4"/>
  <c r="J115" i="4"/>
  <c r="H117" i="4" l="1"/>
  <c r="I116" i="4"/>
  <c r="I117" i="4" s="1"/>
  <c r="J116" i="4" l="1"/>
  <c r="H118" i="4"/>
  <c r="J117" i="4"/>
  <c r="H119" i="4" l="1"/>
  <c r="I118" i="4"/>
  <c r="I119" i="4" s="1"/>
  <c r="J118" i="4" l="1"/>
  <c r="H120" i="4"/>
  <c r="J119" i="4"/>
  <c r="H121" i="4" l="1"/>
  <c r="I120" i="4"/>
  <c r="I121" i="4" s="1"/>
  <c r="J120" i="4" l="1"/>
  <c r="H122" i="4"/>
  <c r="J121" i="4"/>
  <c r="H123" i="4" l="1"/>
  <c r="I122" i="4"/>
  <c r="I123" i="4" s="1"/>
  <c r="J122" i="4" l="1"/>
  <c r="H124" i="4"/>
  <c r="J123" i="4"/>
  <c r="H125" i="4" l="1"/>
  <c r="I124" i="4"/>
  <c r="I125" i="4" s="1"/>
  <c r="J124" i="4" l="1"/>
  <c r="H126" i="4"/>
  <c r="J125" i="4"/>
  <c r="H127" i="4" l="1"/>
  <c r="I126" i="4"/>
  <c r="I127" i="4" s="1"/>
  <c r="J126" i="4" l="1"/>
  <c r="H128" i="4"/>
  <c r="J127" i="4"/>
  <c r="H129" i="4" l="1"/>
  <c r="I128" i="4"/>
  <c r="I129" i="4" s="1"/>
  <c r="J128" i="4" l="1"/>
  <c r="H130" i="4"/>
  <c r="J129" i="4"/>
  <c r="H131" i="4" l="1"/>
  <c r="I130" i="4"/>
  <c r="I131" i="4" s="1"/>
  <c r="J130" i="4" l="1"/>
  <c r="H132" i="4"/>
  <c r="J131" i="4"/>
  <c r="H133" i="4" l="1"/>
  <c r="I132" i="4"/>
  <c r="I133" i="4" s="1"/>
  <c r="J132" i="4" l="1"/>
  <c r="H134" i="4"/>
  <c r="J133" i="4"/>
  <c r="H135" i="4" l="1"/>
  <c r="I134" i="4"/>
  <c r="I135" i="4" s="1"/>
  <c r="J134" i="4" l="1"/>
  <c r="H136" i="4"/>
  <c r="J135" i="4"/>
  <c r="H137" i="4" l="1"/>
  <c r="I136" i="4"/>
  <c r="I137" i="4" s="1"/>
  <c r="J136" i="4" l="1"/>
  <c r="H138" i="4"/>
  <c r="J137" i="4"/>
  <c r="H139" i="4" l="1"/>
  <c r="I138" i="4"/>
  <c r="I139" i="4" s="1"/>
  <c r="J138" i="4" l="1"/>
  <c r="H140" i="4"/>
  <c r="J139" i="4"/>
  <c r="H141" i="4" l="1"/>
  <c r="I140" i="4"/>
  <c r="I141" i="4" s="1"/>
  <c r="J140" i="4" l="1"/>
  <c r="H142" i="4"/>
  <c r="J141" i="4"/>
  <c r="H143" i="4" l="1"/>
  <c r="I142" i="4"/>
  <c r="I143" i="4" s="1"/>
  <c r="J142" i="4" l="1"/>
  <c r="H144" i="4"/>
  <c r="J143" i="4"/>
  <c r="H145" i="4" l="1"/>
  <c r="I144" i="4"/>
  <c r="I145" i="4" s="1"/>
  <c r="J144" i="4" l="1"/>
  <c r="H146" i="4"/>
  <c r="J145" i="4"/>
  <c r="H147" i="4" l="1"/>
  <c r="I146" i="4"/>
  <c r="I147" i="4" s="1"/>
  <c r="J146" i="4" l="1"/>
  <c r="H148" i="4"/>
  <c r="J147" i="4"/>
  <c r="H149" i="4" l="1"/>
  <c r="I148" i="4"/>
  <c r="I149" i="4" s="1"/>
  <c r="J148" i="4" l="1"/>
  <c r="H150" i="4"/>
  <c r="J149" i="4"/>
  <c r="H151" i="4" l="1"/>
  <c r="I150" i="4"/>
  <c r="I151" i="4" s="1"/>
  <c r="J150" i="4" l="1"/>
  <c r="H152" i="4"/>
  <c r="J151" i="4"/>
  <c r="H153" i="4" l="1"/>
  <c r="I152" i="4"/>
  <c r="I153" i="4" s="1"/>
  <c r="J152" i="4" l="1"/>
  <c r="H154" i="4"/>
  <c r="J153" i="4"/>
  <c r="H155" i="4" l="1"/>
  <c r="I154" i="4"/>
  <c r="I155" i="4" s="1"/>
  <c r="J154" i="4" l="1"/>
  <c r="H156" i="4"/>
  <c r="J155" i="4"/>
  <c r="H157" i="4" l="1"/>
  <c r="I156" i="4"/>
  <c r="I157" i="4" s="1"/>
  <c r="J156" i="4" l="1"/>
  <c r="H158" i="4"/>
  <c r="I158" i="4" s="1"/>
  <c r="J157" i="4"/>
  <c r="H159" i="4" l="1"/>
  <c r="J158" i="4"/>
  <c r="H160" i="4" l="1"/>
  <c r="I159" i="4"/>
  <c r="I160" i="4" s="1"/>
  <c r="J159" i="4" l="1"/>
  <c r="H161" i="4"/>
  <c r="J160" i="4"/>
  <c r="H162" i="4" l="1"/>
  <c r="I161" i="4"/>
  <c r="I162" i="4" s="1"/>
  <c r="J161" i="4" l="1"/>
  <c r="H163" i="4"/>
  <c r="J162" i="4"/>
  <c r="H164" i="4" l="1"/>
  <c r="I163" i="4"/>
  <c r="I164" i="4" s="1"/>
  <c r="J163" i="4" l="1"/>
  <c r="H165" i="4"/>
  <c r="J164" i="4"/>
  <c r="H166" i="4" l="1"/>
  <c r="I165" i="4"/>
  <c r="I166" i="4" s="1"/>
  <c r="J165" i="4" l="1"/>
  <c r="H167" i="4"/>
  <c r="J166" i="4"/>
  <c r="H168" i="4" l="1"/>
  <c r="I167" i="4"/>
  <c r="I168" i="4" s="1"/>
  <c r="J167" i="4" l="1"/>
  <c r="H169" i="4"/>
  <c r="J168" i="4"/>
  <c r="H170" i="4" l="1"/>
  <c r="I169" i="4"/>
  <c r="I170" i="4" s="1"/>
  <c r="J169" i="4" l="1"/>
  <c r="H171" i="4"/>
  <c r="J170" i="4"/>
  <c r="H172" i="4" l="1"/>
  <c r="I171" i="4"/>
  <c r="I172" i="4" s="1"/>
  <c r="J171" i="4" l="1"/>
  <c r="H173" i="4"/>
  <c r="J172" i="4"/>
  <c r="H174" i="4" l="1"/>
  <c r="I173" i="4"/>
  <c r="I174" i="4" s="1"/>
  <c r="J173" i="4" l="1"/>
  <c r="H175" i="4"/>
  <c r="J174" i="4"/>
  <c r="H176" i="4" l="1"/>
  <c r="I175" i="4"/>
  <c r="I176" i="4" s="1"/>
  <c r="J175" i="4" l="1"/>
  <c r="H177" i="4"/>
  <c r="J176" i="4"/>
  <c r="H178" i="4" l="1"/>
  <c r="I177" i="4"/>
  <c r="I178" i="4" s="1"/>
  <c r="J177" i="4" l="1"/>
  <c r="H179" i="4"/>
  <c r="J178" i="4"/>
  <c r="H180" i="4" l="1"/>
  <c r="I179" i="4"/>
  <c r="I180" i="4" s="1"/>
  <c r="J179" i="4" l="1"/>
  <c r="H181" i="4"/>
  <c r="J180" i="4"/>
  <c r="H182" i="4" l="1"/>
  <c r="I181" i="4"/>
  <c r="I182" i="4" s="1"/>
  <c r="J181" i="4" l="1"/>
  <c r="H183" i="4"/>
  <c r="J182" i="4"/>
  <c r="H184" i="4" l="1"/>
  <c r="I183" i="4"/>
  <c r="I184" i="4" s="1"/>
  <c r="J183" i="4" l="1"/>
  <c r="H185" i="4"/>
  <c r="J184" i="4"/>
  <c r="H186" i="4" l="1"/>
  <c r="I185" i="4"/>
  <c r="I186" i="4" s="1"/>
  <c r="J185" i="4" l="1"/>
  <c r="H187" i="4"/>
  <c r="J186" i="4"/>
  <c r="H188" i="4" l="1"/>
  <c r="I187" i="4"/>
  <c r="I188" i="4" s="1"/>
  <c r="J187" i="4" l="1"/>
  <c r="H189" i="4"/>
  <c r="J188" i="4"/>
  <c r="H190" i="4" l="1"/>
  <c r="I189" i="4"/>
  <c r="I190" i="4" s="1"/>
  <c r="J189" i="4" l="1"/>
  <c r="H191" i="4"/>
  <c r="J190" i="4"/>
  <c r="H192" i="4" l="1"/>
  <c r="I191" i="4"/>
  <c r="I192" i="4" s="1"/>
  <c r="J191" i="4" l="1"/>
  <c r="H193" i="4"/>
  <c r="J192" i="4"/>
  <c r="H194" i="4" l="1"/>
  <c r="I193" i="4"/>
  <c r="I194" i="4" s="1"/>
  <c r="J193" i="4" l="1"/>
  <c r="H195" i="4"/>
  <c r="J194" i="4"/>
  <c r="H196" i="4" l="1"/>
  <c r="I195" i="4"/>
  <c r="I196" i="4" s="1"/>
  <c r="J195" i="4" l="1"/>
  <c r="H197" i="4"/>
  <c r="J196" i="4"/>
  <c r="H198" i="4" l="1"/>
  <c r="I197" i="4"/>
  <c r="I198" i="4" s="1"/>
  <c r="J197" i="4" l="1"/>
  <c r="H199" i="4"/>
  <c r="I199" i="4" s="1"/>
  <c r="J198" i="4"/>
  <c r="H200" i="4" l="1"/>
  <c r="J199" i="4"/>
  <c r="I200" i="4"/>
  <c r="H201" i="4" l="1"/>
  <c r="J200" i="4"/>
  <c r="H202" i="4" l="1"/>
  <c r="I201" i="4"/>
  <c r="I202" i="4" s="1"/>
  <c r="J201" i="4" l="1"/>
  <c r="H203" i="4"/>
  <c r="J202" i="4"/>
  <c r="H204" i="4" l="1"/>
  <c r="I203" i="4"/>
  <c r="I204" i="4" s="1"/>
  <c r="J203" i="4" l="1"/>
  <c r="H205" i="4"/>
  <c r="J204" i="4"/>
  <c r="H206" i="4" l="1"/>
  <c r="I205" i="4"/>
  <c r="I206" i="4" s="1"/>
  <c r="J205" i="4" l="1"/>
  <c r="H207" i="4"/>
  <c r="J206" i="4"/>
  <c r="H208" i="4" l="1"/>
  <c r="I207" i="4"/>
  <c r="I208" i="4" s="1"/>
  <c r="J207" i="4" l="1"/>
  <c r="H209" i="4"/>
  <c r="J208" i="4"/>
  <c r="H210" i="4" l="1"/>
  <c r="I209" i="4"/>
  <c r="I210" i="4" s="1"/>
  <c r="J209" i="4" l="1"/>
  <c r="H211" i="4"/>
  <c r="J210" i="4"/>
  <c r="H212" i="4" l="1"/>
  <c r="I211" i="4"/>
  <c r="I212" i="4" s="1"/>
  <c r="J211" i="4" l="1"/>
  <c r="H213" i="4"/>
  <c r="J212" i="4"/>
  <c r="H214" i="4" l="1"/>
  <c r="I213" i="4"/>
  <c r="I214" i="4" s="1"/>
  <c r="J213" i="4" l="1"/>
  <c r="H215" i="4"/>
  <c r="J214" i="4"/>
  <c r="H216" i="4" l="1"/>
  <c r="I215" i="4"/>
  <c r="I216" i="4" s="1"/>
  <c r="J215" i="4" l="1"/>
  <c r="H217" i="4"/>
  <c r="J216" i="4"/>
  <c r="H218" i="4" l="1"/>
  <c r="I217" i="4"/>
  <c r="I218" i="4" s="1"/>
  <c r="J217" i="4" l="1"/>
  <c r="H219" i="4"/>
  <c r="I219" i="4" s="1"/>
  <c r="J218" i="4"/>
  <c r="H220" i="4" l="1"/>
  <c r="J219" i="4"/>
  <c r="I220" i="4"/>
  <c r="H221" i="4" l="1"/>
  <c r="J220" i="4"/>
  <c r="H222" i="4" l="1"/>
  <c r="I221" i="4"/>
  <c r="I222" i="4" s="1"/>
  <c r="J221" i="4" l="1"/>
  <c r="H223" i="4"/>
  <c r="J222" i="4"/>
  <c r="H224" i="4" l="1"/>
  <c r="I223" i="4"/>
  <c r="I224" i="4" s="1"/>
  <c r="J223" i="4" l="1"/>
  <c r="H225" i="4"/>
  <c r="I225" i="4" s="1"/>
  <c r="J224" i="4"/>
  <c r="H226" i="4" l="1"/>
  <c r="J225" i="4"/>
  <c r="H227" i="4" l="1"/>
  <c r="I226" i="4"/>
  <c r="I227" i="4" s="1"/>
  <c r="J226" i="4" l="1"/>
  <c r="H228" i="4"/>
  <c r="J227" i="4"/>
  <c r="H229" i="4" l="1"/>
  <c r="I228" i="4"/>
  <c r="I229" i="4" s="1"/>
  <c r="J228" i="4" l="1"/>
  <c r="H230" i="4"/>
  <c r="J229" i="4"/>
  <c r="H231" i="4" l="1"/>
  <c r="I230" i="4"/>
  <c r="I231" i="4" s="1"/>
  <c r="J230" i="4" l="1"/>
  <c r="H232" i="4"/>
  <c r="J231" i="4"/>
  <c r="H233" i="4" l="1"/>
  <c r="I232" i="4"/>
  <c r="I233" i="4" s="1"/>
  <c r="J232" i="4" l="1"/>
  <c r="H234" i="4"/>
  <c r="J233" i="4"/>
  <c r="H235" i="4" l="1"/>
  <c r="I234" i="4"/>
  <c r="I235" i="4" s="1"/>
  <c r="J234" i="4" l="1"/>
  <c r="H236" i="4"/>
  <c r="J235" i="4"/>
  <c r="H237" i="4" l="1"/>
  <c r="I236" i="4"/>
  <c r="I237" i="4" s="1"/>
  <c r="J236" i="4" l="1"/>
  <c r="H238" i="4"/>
  <c r="I238" i="4" s="1"/>
  <c r="J237" i="4"/>
  <c r="H239" i="4" l="1"/>
  <c r="J238" i="4"/>
  <c r="H240" i="4" l="1"/>
  <c r="I239" i="4"/>
  <c r="I240" i="4" s="1"/>
  <c r="J239" i="4" l="1"/>
  <c r="H241" i="4"/>
  <c r="I241" i="4" s="1"/>
  <c r="J240" i="4"/>
  <c r="H242" i="4" l="1"/>
  <c r="J241" i="4"/>
  <c r="H243" i="4" l="1"/>
  <c r="I242" i="4"/>
  <c r="I243" i="4" s="1"/>
  <c r="J242" i="4" l="1"/>
  <c r="H244" i="4"/>
  <c r="I244" i="4" s="1"/>
  <c r="J243" i="4"/>
  <c r="H245" i="4" l="1"/>
  <c r="J244" i="4"/>
  <c r="H246" i="4" l="1"/>
  <c r="I245" i="4"/>
  <c r="I246" i="4" s="1"/>
  <c r="J245" i="4" l="1"/>
  <c r="H247" i="4"/>
  <c r="J246" i="4"/>
  <c r="H248" i="4" l="1"/>
  <c r="I247" i="4"/>
  <c r="I248" i="4" s="1"/>
  <c r="J247" i="4" l="1"/>
  <c r="H249" i="4"/>
  <c r="J248" i="4"/>
  <c r="H250" i="4" l="1"/>
  <c r="I249" i="4"/>
  <c r="I250" i="4" s="1"/>
  <c r="J249" i="4" l="1"/>
  <c r="H251" i="4"/>
  <c r="J250" i="4"/>
  <c r="H252" i="4" l="1"/>
  <c r="I251" i="4"/>
  <c r="I252" i="4" s="1"/>
  <c r="J251" i="4" l="1"/>
  <c r="H253" i="4"/>
  <c r="J252" i="4"/>
  <c r="H254" i="4" l="1"/>
  <c r="I253" i="4"/>
  <c r="I254" i="4" s="1"/>
  <c r="J253" i="4" l="1"/>
  <c r="H255" i="4"/>
  <c r="I255" i="4" s="1"/>
  <c r="J254" i="4"/>
  <c r="H256" i="4" l="1"/>
  <c r="J255" i="4"/>
  <c r="H257" i="4" l="1"/>
  <c r="I256" i="4"/>
  <c r="I257" i="4" s="1"/>
  <c r="J256" i="4" l="1"/>
  <c r="H258" i="4"/>
  <c r="I258" i="4" s="1"/>
  <c r="J257" i="4"/>
  <c r="H259" i="4" l="1"/>
  <c r="J258" i="4"/>
  <c r="H260" i="4" l="1"/>
  <c r="I259" i="4"/>
  <c r="I260" i="4" s="1"/>
  <c r="J259" i="4" l="1"/>
  <c r="H261" i="4"/>
  <c r="I261" i="4" s="1"/>
  <c r="J260" i="4"/>
  <c r="H262" i="4" l="1"/>
  <c r="J261" i="4"/>
  <c r="H263" i="4" l="1"/>
  <c r="I262" i="4"/>
  <c r="I263" i="4" s="1"/>
  <c r="J262" i="4" l="1"/>
  <c r="H264" i="4"/>
  <c r="J263" i="4"/>
  <c r="H265" i="4" l="1"/>
  <c r="I264" i="4"/>
  <c r="I265" i="4" s="1"/>
  <c r="J264" i="4" l="1"/>
  <c r="H266" i="4"/>
  <c r="J265" i="4"/>
  <c r="H267" i="4" l="1"/>
  <c r="I266" i="4"/>
  <c r="I267" i="4" s="1"/>
  <c r="J266" i="4" l="1"/>
  <c r="H268" i="4"/>
  <c r="J267" i="4"/>
  <c r="H269" i="4" l="1"/>
  <c r="I268" i="4"/>
  <c r="I269" i="4" s="1"/>
  <c r="J268" i="4" l="1"/>
  <c r="H270" i="4"/>
  <c r="J269" i="4"/>
  <c r="H271" i="4" l="1"/>
  <c r="I270" i="4"/>
  <c r="I271" i="4" s="1"/>
  <c r="J270" i="4" l="1"/>
  <c r="H272" i="4"/>
  <c r="J271" i="4"/>
  <c r="H273" i="4" l="1"/>
  <c r="I272" i="4"/>
  <c r="I273" i="4" s="1"/>
  <c r="J272" i="4" l="1"/>
  <c r="H274" i="4"/>
  <c r="J273" i="4"/>
  <c r="H275" i="4" l="1"/>
  <c r="I274" i="4"/>
  <c r="I275" i="4" s="1"/>
  <c r="J274" i="4" l="1"/>
  <c r="H276" i="4"/>
  <c r="J275" i="4"/>
  <c r="H277" i="4" l="1"/>
  <c r="I276" i="4"/>
  <c r="I277" i="4" s="1"/>
  <c r="J276" i="4" l="1"/>
  <c r="H278" i="4"/>
  <c r="J277" i="4"/>
  <c r="H279" i="4" l="1"/>
  <c r="I278" i="4"/>
  <c r="I279" i="4" s="1"/>
  <c r="J278" i="4" l="1"/>
  <c r="H280" i="4"/>
  <c r="J279" i="4"/>
  <c r="H281" i="4" l="1"/>
  <c r="I280" i="4"/>
  <c r="I281" i="4" s="1"/>
  <c r="J280" i="4" l="1"/>
  <c r="H282" i="4"/>
  <c r="J281" i="4"/>
  <c r="H283" i="4" l="1"/>
  <c r="I282" i="4"/>
  <c r="I283" i="4" s="1"/>
  <c r="J282" i="4" l="1"/>
  <c r="H284" i="4"/>
  <c r="I284" i="4" s="1"/>
  <c r="J283" i="4"/>
  <c r="H285" i="4" l="1"/>
  <c r="J284" i="4"/>
  <c r="H286" i="4" l="1"/>
  <c r="I285" i="4"/>
  <c r="I286" i="4" s="1"/>
  <c r="J285" i="4" l="1"/>
  <c r="H287" i="4"/>
  <c r="J286" i="4"/>
  <c r="H288" i="4" l="1"/>
  <c r="I287" i="4"/>
  <c r="I288" i="4" s="1"/>
  <c r="J287" i="4" l="1"/>
  <c r="H289" i="4"/>
  <c r="J288" i="4"/>
  <c r="H290" i="4" l="1"/>
  <c r="I289" i="4"/>
  <c r="I290" i="4" s="1"/>
  <c r="J289" i="4" l="1"/>
  <c r="H291" i="4"/>
  <c r="J290" i="4"/>
  <c r="H292" i="4" l="1"/>
  <c r="I291" i="4"/>
  <c r="I292" i="4" s="1"/>
  <c r="J291" i="4" l="1"/>
  <c r="H293" i="4"/>
  <c r="J292" i="4"/>
  <c r="H294" i="4" l="1"/>
  <c r="I293" i="4"/>
  <c r="I294" i="4" l="1"/>
  <c r="J293" i="4"/>
  <c r="H295" i="4"/>
  <c r="J294" i="4"/>
  <c r="H296" i="4" l="1"/>
  <c r="I295" i="4"/>
  <c r="I296" i="4" s="1"/>
  <c r="J295" i="4" l="1"/>
  <c r="H297" i="4"/>
  <c r="J296" i="4"/>
  <c r="H298" i="4" l="1"/>
  <c r="I297" i="4"/>
  <c r="I298" i="4" s="1"/>
  <c r="J297" i="4" l="1"/>
  <c r="H299" i="4"/>
  <c r="J298" i="4"/>
  <c r="H300" i="4" l="1"/>
  <c r="I299" i="4"/>
  <c r="I300" i="4" s="1"/>
  <c r="J299" i="4" l="1"/>
  <c r="H301" i="4"/>
  <c r="J300" i="4"/>
  <c r="H302" i="4" l="1"/>
  <c r="I301" i="4"/>
  <c r="I302" i="4" s="1"/>
  <c r="J301" i="4" l="1"/>
  <c r="H303" i="4"/>
  <c r="J302" i="4"/>
  <c r="H304" i="4" l="1"/>
  <c r="I303" i="4"/>
  <c r="I304" i="4" s="1"/>
  <c r="J303" i="4" l="1"/>
  <c r="H305" i="4"/>
  <c r="J304" i="4"/>
  <c r="H306" i="4" l="1"/>
  <c r="I305" i="4"/>
  <c r="I306" i="4" s="1"/>
  <c r="J305" i="4" l="1"/>
  <c r="H307" i="4"/>
  <c r="J306" i="4"/>
  <c r="H308" i="4" l="1"/>
  <c r="I307" i="4"/>
  <c r="I308" i="4" s="1"/>
  <c r="J307" i="4" l="1"/>
  <c r="H309" i="4"/>
  <c r="J308" i="4"/>
  <c r="H310" i="4" l="1"/>
  <c r="I309" i="4"/>
  <c r="I310" i="4" s="1"/>
  <c r="J309" i="4" l="1"/>
  <c r="H311" i="4"/>
  <c r="J310" i="4"/>
  <c r="H312" i="4" l="1"/>
  <c r="I311" i="4"/>
  <c r="I312" i="4" s="1"/>
  <c r="J311" i="4" l="1"/>
  <c r="H313" i="4"/>
  <c r="J312" i="4"/>
  <c r="H314" i="4" l="1"/>
  <c r="I313" i="4"/>
  <c r="I314" i="4" s="1"/>
  <c r="J313" i="4" l="1"/>
  <c r="H315" i="4"/>
  <c r="J314" i="4"/>
  <c r="H316" i="4" l="1"/>
  <c r="I315" i="4"/>
  <c r="I316" i="4" s="1"/>
  <c r="J315" i="4" l="1"/>
  <c r="H317" i="4"/>
  <c r="I317" i="4" s="1"/>
  <c r="J316" i="4"/>
  <c r="H318" i="4" l="1"/>
  <c r="J317" i="4"/>
  <c r="I318" i="4"/>
  <c r="H319" i="4" l="1"/>
  <c r="J318" i="4"/>
  <c r="H320" i="4" l="1"/>
  <c r="I319" i="4"/>
  <c r="I320" i="4" s="1"/>
  <c r="J319" i="4" l="1"/>
  <c r="H321" i="4"/>
  <c r="J320" i="4"/>
  <c r="H322" i="4" l="1"/>
  <c r="I321" i="4"/>
  <c r="I322" i="4" s="1"/>
  <c r="J321" i="4" l="1"/>
  <c r="H323" i="4"/>
  <c r="I323" i="4" s="1"/>
  <c r="J322" i="4"/>
  <c r="H324" i="4" l="1"/>
  <c r="J323" i="4"/>
  <c r="I324" i="4"/>
  <c r="H325" i="4" l="1"/>
  <c r="J324" i="4"/>
  <c r="H326" i="4" l="1"/>
  <c r="I325" i="4"/>
  <c r="I326" i="4" s="1"/>
  <c r="J325" i="4" l="1"/>
  <c r="H327" i="4"/>
  <c r="I327" i="4" s="1"/>
  <c r="J326" i="4"/>
  <c r="H328" i="4" l="1"/>
  <c r="J327" i="4"/>
  <c r="I328" i="4"/>
  <c r="H329" i="4" l="1"/>
  <c r="J328" i="4"/>
  <c r="H330" i="4" l="1"/>
  <c r="I329" i="4"/>
  <c r="I330" i="4" s="1"/>
  <c r="J329" i="4" l="1"/>
  <c r="H331" i="4"/>
  <c r="J330" i="4"/>
  <c r="H332" i="4" l="1"/>
  <c r="I331" i="4"/>
  <c r="I332" i="4" s="1"/>
  <c r="J331" i="4" l="1"/>
  <c r="H333" i="4"/>
  <c r="J332" i="4"/>
  <c r="H334" i="4" l="1"/>
  <c r="I333" i="4"/>
  <c r="I334" i="4" s="1"/>
  <c r="J333" i="4" l="1"/>
  <c r="H335" i="4"/>
  <c r="J334" i="4"/>
  <c r="H336" i="4" l="1"/>
  <c r="I335" i="4"/>
  <c r="I336" i="4" s="1"/>
  <c r="J335" i="4" l="1"/>
  <c r="H337" i="4"/>
  <c r="J336" i="4"/>
  <c r="H338" i="4" l="1"/>
  <c r="I337" i="4"/>
  <c r="I338" i="4" s="1"/>
  <c r="J337" i="4" l="1"/>
  <c r="H339" i="4"/>
  <c r="J338" i="4"/>
  <c r="H340" i="4" l="1"/>
  <c r="I339" i="4"/>
  <c r="I340" i="4" s="1"/>
  <c r="J339" i="4" l="1"/>
  <c r="H341" i="4"/>
  <c r="J340" i="4"/>
  <c r="H342" i="4" l="1"/>
  <c r="I341" i="4"/>
  <c r="I342" i="4" s="1"/>
  <c r="J341" i="4" l="1"/>
  <c r="H343" i="4"/>
  <c r="J342" i="4"/>
  <c r="H344" i="4" l="1"/>
  <c r="I343" i="4"/>
  <c r="I344" i="4" s="1"/>
  <c r="J343" i="4" l="1"/>
  <c r="H345" i="4"/>
  <c r="J344" i="4"/>
  <c r="H346" i="4" l="1"/>
  <c r="I345" i="4"/>
  <c r="I346" i="4" s="1"/>
  <c r="J345" i="4" l="1"/>
  <c r="H347" i="4"/>
  <c r="J346" i="4"/>
  <c r="H348" i="4" l="1"/>
  <c r="I347" i="4"/>
  <c r="I348" i="4" s="1"/>
  <c r="J347" i="4" l="1"/>
  <c r="H349" i="4"/>
  <c r="J348" i="4"/>
  <c r="H350" i="4" l="1"/>
  <c r="I349" i="4"/>
  <c r="I350" i="4" s="1"/>
  <c r="J349" i="4" l="1"/>
  <c r="H351" i="4"/>
  <c r="J350" i="4"/>
  <c r="H352" i="4" l="1"/>
  <c r="I351" i="4"/>
  <c r="I352" i="4" s="1"/>
  <c r="J351" i="4" l="1"/>
  <c r="H353" i="4"/>
  <c r="J352" i="4"/>
  <c r="H354" i="4" l="1"/>
  <c r="I353" i="4"/>
  <c r="I354" i="4" s="1"/>
  <c r="J353" i="4" l="1"/>
  <c r="H355" i="4"/>
  <c r="J354" i="4"/>
  <c r="H356" i="4" l="1"/>
  <c r="I355" i="4"/>
  <c r="I356" i="4" s="1"/>
  <c r="J355" i="4" l="1"/>
  <c r="H357" i="4"/>
  <c r="J356" i="4"/>
  <c r="H358" i="4" l="1"/>
  <c r="I357" i="4"/>
  <c r="I358" i="4" s="1"/>
  <c r="J357" i="4" l="1"/>
  <c r="H359" i="4"/>
  <c r="J358" i="4"/>
  <c r="H360" i="4" l="1"/>
  <c r="I359" i="4"/>
  <c r="I360" i="4" s="1"/>
  <c r="J359" i="4" l="1"/>
  <c r="H361" i="4"/>
  <c r="J360" i="4"/>
  <c r="H362" i="4" l="1"/>
  <c r="I361" i="4"/>
  <c r="I362" i="4" s="1"/>
  <c r="J361" i="4" l="1"/>
  <c r="H363" i="4"/>
  <c r="J362" i="4"/>
  <c r="H364" i="4" l="1"/>
  <c r="I363" i="4"/>
  <c r="I364" i="4" s="1"/>
  <c r="J363" i="4" l="1"/>
  <c r="H365" i="4"/>
  <c r="J364" i="4"/>
  <c r="H366" i="4" l="1"/>
  <c r="I365" i="4"/>
  <c r="I366" i="4" s="1"/>
  <c r="J365" i="4" l="1"/>
  <c r="H367" i="4"/>
  <c r="J366" i="4"/>
  <c r="H368" i="4" l="1"/>
  <c r="I367" i="4"/>
  <c r="I368" i="4" s="1"/>
  <c r="J367" i="4" l="1"/>
  <c r="H369" i="4"/>
  <c r="J368" i="4"/>
  <c r="H370" i="4" l="1"/>
  <c r="I369" i="4"/>
  <c r="I370" i="4" s="1"/>
  <c r="J369" i="4" l="1"/>
  <c r="H371" i="4"/>
  <c r="J370" i="4"/>
  <c r="H372" i="4" l="1"/>
  <c r="I371" i="4"/>
  <c r="I372" i="4" s="1"/>
  <c r="J371" i="4" l="1"/>
  <c r="H373" i="4"/>
  <c r="J372" i="4"/>
  <c r="H374" i="4" l="1"/>
  <c r="I373" i="4"/>
  <c r="I374" i="4" s="1"/>
  <c r="J373" i="4" l="1"/>
  <c r="H375" i="4"/>
  <c r="J374" i="4"/>
  <c r="H376" i="4" l="1"/>
  <c r="I375" i="4"/>
  <c r="I376" i="4" s="1"/>
  <c r="J375" i="4" l="1"/>
  <c r="H377" i="4"/>
  <c r="J376" i="4"/>
  <c r="H378" i="4" l="1"/>
  <c r="I377" i="4"/>
  <c r="I378" i="4" s="1"/>
  <c r="J377" i="4" l="1"/>
  <c r="H379" i="4"/>
  <c r="J378" i="4"/>
  <c r="H380" i="4" l="1"/>
  <c r="I379" i="4"/>
  <c r="I380" i="4" s="1"/>
  <c r="J379" i="4" l="1"/>
  <c r="H381" i="4"/>
  <c r="J380" i="4"/>
  <c r="H382" i="4" l="1"/>
  <c r="I381" i="4"/>
  <c r="I382" i="4" s="1"/>
  <c r="J381" i="4" l="1"/>
  <c r="H383" i="4"/>
  <c r="J382" i="4"/>
  <c r="H384" i="4" l="1"/>
  <c r="I383" i="4"/>
  <c r="I384" i="4" s="1"/>
  <c r="J383" i="4" l="1"/>
  <c r="H385" i="4"/>
  <c r="J384" i="4"/>
  <c r="H386" i="4" l="1"/>
  <c r="I385" i="4"/>
  <c r="I386" i="4" s="1"/>
  <c r="J385" i="4" l="1"/>
  <c r="H387" i="4"/>
  <c r="J386" i="4"/>
  <c r="H388" i="4" l="1"/>
  <c r="I387" i="4"/>
  <c r="I388" i="4" s="1"/>
  <c r="J387" i="4" l="1"/>
  <c r="H389" i="4"/>
  <c r="J388" i="4"/>
  <c r="H390" i="4" l="1"/>
  <c r="I389" i="4"/>
  <c r="I390" i="4" s="1"/>
  <c r="J389" i="4" l="1"/>
  <c r="H391" i="4"/>
  <c r="J390" i="4"/>
  <c r="H392" i="4" l="1"/>
  <c r="I391" i="4"/>
  <c r="I392" i="4" s="1"/>
  <c r="J391" i="4" l="1"/>
  <c r="H393" i="4"/>
  <c r="J392" i="4"/>
  <c r="H394" i="4" l="1"/>
  <c r="I393" i="4"/>
  <c r="I394" i="4" s="1"/>
  <c r="J393" i="4" l="1"/>
  <c r="H395" i="4"/>
  <c r="J394" i="4"/>
  <c r="H396" i="4" l="1"/>
  <c r="I395" i="4"/>
  <c r="I396" i="4" s="1"/>
  <c r="J395" i="4" l="1"/>
  <c r="H397" i="4"/>
  <c r="I397" i="4" s="1"/>
  <c r="J396" i="4"/>
  <c r="H398" i="4" l="1"/>
  <c r="J397" i="4"/>
  <c r="I398" i="4"/>
  <c r="H399" i="4" l="1"/>
  <c r="I399" i="4" s="1"/>
  <c r="J398" i="4"/>
  <c r="H400" i="4" l="1"/>
  <c r="J399" i="4"/>
  <c r="I400" i="4"/>
  <c r="H401" i="4" l="1"/>
  <c r="J400" i="4"/>
  <c r="H402" i="4" l="1"/>
  <c r="I401" i="4"/>
  <c r="I402" i="4" s="1"/>
  <c r="J401" i="4" l="1"/>
  <c r="H403" i="4"/>
  <c r="I403" i="4" s="1"/>
  <c r="J402" i="4"/>
  <c r="H404" i="4" l="1"/>
  <c r="J403" i="4"/>
  <c r="H405" i="4" l="1"/>
  <c r="I404" i="4"/>
  <c r="I405" i="4" s="1"/>
  <c r="J404" i="4" l="1"/>
  <c r="H406" i="4"/>
  <c r="I406" i="4" s="1"/>
  <c r="J405" i="4"/>
  <c r="H407" i="4" l="1"/>
  <c r="J406" i="4"/>
  <c r="H408" i="4" l="1"/>
  <c r="I407" i="4"/>
  <c r="I408" i="4" s="1"/>
  <c r="J407" i="4" l="1"/>
  <c r="H409" i="4"/>
  <c r="J408" i="4"/>
  <c r="H410" i="4" l="1"/>
  <c r="I409" i="4"/>
  <c r="I410" i="4" s="1"/>
  <c r="J409" i="4" l="1"/>
  <c r="H411" i="4"/>
  <c r="J410" i="4"/>
  <c r="H412" i="4" l="1"/>
  <c r="I411" i="4"/>
  <c r="I412" i="4" s="1"/>
  <c r="J411" i="4" l="1"/>
  <c r="H413" i="4"/>
  <c r="J412" i="4"/>
  <c r="H414" i="4" l="1"/>
  <c r="I413" i="4"/>
  <c r="I414" i="4" s="1"/>
  <c r="J413" i="4" l="1"/>
  <c r="H415" i="4"/>
  <c r="J414" i="4"/>
  <c r="H416" i="4" l="1"/>
  <c r="I415" i="4"/>
  <c r="I416" i="4" s="1"/>
  <c r="J415" i="4" l="1"/>
  <c r="H417" i="4"/>
  <c r="J416" i="4"/>
  <c r="H418" i="4" l="1"/>
  <c r="I417" i="4"/>
  <c r="I418" i="4" s="1"/>
  <c r="J417" i="4" l="1"/>
  <c r="H419" i="4"/>
  <c r="J418" i="4"/>
  <c r="H420" i="4" l="1"/>
  <c r="I419" i="4"/>
  <c r="I420" i="4" s="1"/>
  <c r="J419" i="4" l="1"/>
  <c r="H421" i="4"/>
  <c r="J420" i="4"/>
  <c r="H422" i="4" l="1"/>
  <c r="I421" i="4"/>
  <c r="I422" i="4" s="1"/>
  <c r="J421" i="4" l="1"/>
  <c r="H423" i="4"/>
  <c r="J422" i="4"/>
  <c r="H424" i="4" l="1"/>
  <c r="I423" i="4"/>
  <c r="I424" i="4" s="1"/>
  <c r="J423" i="4" l="1"/>
  <c r="H425" i="4"/>
  <c r="J424" i="4"/>
  <c r="H426" i="4" l="1"/>
  <c r="I425" i="4"/>
  <c r="I426" i="4" s="1"/>
  <c r="J425" i="4" l="1"/>
  <c r="H427" i="4"/>
  <c r="J426" i="4"/>
  <c r="H428" i="4" l="1"/>
  <c r="I427" i="4"/>
  <c r="I428" i="4" s="1"/>
  <c r="J427" i="4" l="1"/>
  <c r="H429" i="4"/>
  <c r="J428" i="4"/>
  <c r="H430" i="4" l="1"/>
  <c r="I429" i="4"/>
  <c r="I430" i="4" s="1"/>
  <c r="J429" i="4" l="1"/>
  <c r="H431" i="4"/>
  <c r="J430" i="4"/>
  <c r="H432" i="4" l="1"/>
  <c r="I431" i="4"/>
  <c r="I432" i="4" s="1"/>
  <c r="J431" i="4" l="1"/>
  <c r="H433" i="4"/>
  <c r="J432" i="4"/>
  <c r="H434" i="4" l="1"/>
  <c r="I433" i="4"/>
  <c r="I434" i="4" s="1"/>
  <c r="J433" i="4" l="1"/>
  <c r="H435" i="4"/>
  <c r="J434" i="4"/>
  <c r="H436" i="4" l="1"/>
  <c r="I435" i="4"/>
  <c r="I436" i="4" s="1"/>
  <c r="J435" i="4" l="1"/>
  <c r="H437" i="4"/>
  <c r="J436" i="4"/>
  <c r="H438" i="4" l="1"/>
  <c r="I437" i="4"/>
  <c r="I438" i="4" s="1"/>
  <c r="J437" i="4" l="1"/>
  <c r="H439" i="4"/>
  <c r="J438" i="4"/>
  <c r="H440" i="4" l="1"/>
  <c r="I439" i="4"/>
  <c r="I440" i="4" s="1"/>
  <c r="J439" i="4" l="1"/>
  <c r="H441" i="4"/>
  <c r="J440" i="4"/>
  <c r="H442" i="4" l="1"/>
  <c r="I441" i="4"/>
  <c r="I442" i="4" s="1"/>
  <c r="J441" i="4" l="1"/>
  <c r="H443" i="4"/>
  <c r="J442" i="4"/>
  <c r="H444" i="4" l="1"/>
  <c r="I443" i="4"/>
  <c r="I444" i="4" s="1"/>
  <c r="J443" i="4" l="1"/>
  <c r="H445" i="4"/>
  <c r="J444" i="4"/>
  <c r="H446" i="4" l="1"/>
  <c r="I445" i="4"/>
  <c r="I446" i="4" s="1"/>
  <c r="J445" i="4" l="1"/>
  <c r="H447" i="4"/>
  <c r="J446" i="4"/>
  <c r="H448" i="4" l="1"/>
  <c r="I447" i="4"/>
  <c r="I448" i="4" s="1"/>
  <c r="J447" i="4" l="1"/>
  <c r="H449" i="4"/>
  <c r="J448" i="4"/>
  <c r="H450" i="4" l="1"/>
  <c r="I449" i="4"/>
  <c r="I450" i="4" s="1"/>
  <c r="J449" i="4" l="1"/>
  <c r="H451" i="4"/>
  <c r="J450" i="4"/>
  <c r="H452" i="4" l="1"/>
  <c r="I451" i="4"/>
  <c r="I452" i="4" s="1"/>
  <c r="J451" i="4" l="1"/>
  <c r="H453" i="4"/>
  <c r="J452" i="4"/>
  <c r="H454" i="4" l="1"/>
  <c r="I453" i="4"/>
  <c r="I454" i="4" s="1"/>
  <c r="J453" i="4" l="1"/>
  <c r="H455" i="4"/>
  <c r="J454" i="4"/>
  <c r="H456" i="4" l="1"/>
  <c r="I455" i="4"/>
  <c r="I456" i="4" s="1"/>
  <c r="J455" i="4" l="1"/>
  <c r="H457" i="4"/>
  <c r="J456" i="4"/>
  <c r="H458" i="4" l="1"/>
  <c r="I457" i="4"/>
  <c r="I458" i="4" s="1"/>
  <c r="J457" i="4" l="1"/>
  <c r="H459" i="4"/>
  <c r="J458" i="4"/>
  <c r="H460" i="4" l="1"/>
  <c r="I459" i="4"/>
  <c r="I460" i="4" s="1"/>
  <c r="J459" i="4" l="1"/>
  <c r="H461" i="4"/>
  <c r="J460" i="4"/>
  <c r="H462" i="4" l="1"/>
  <c r="I461" i="4"/>
  <c r="I462" i="4" s="1"/>
  <c r="J461" i="4" l="1"/>
  <c r="H463" i="4"/>
  <c r="J462" i="4"/>
  <c r="H464" i="4" l="1"/>
  <c r="I463" i="4"/>
  <c r="I464" i="4" s="1"/>
  <c r="J463" i="4" l="1"/>
  <c r="H465" i="4"/>
  <c r="J464" i="4"/>
  <c r="H466" i="4" l="1"/>
  <c r="I465" i="4"/>
  <c r="I466" i="4" s="1"/>
  <c r="J465" i="4" l="1"/>
  <c r="H467" i="4"/>
  <c r="J466" i="4"/>
  <c r="H468" i="4" l="1"/>
  <c r="I467" i="4"/>
  <c r="I468" i="4" s="1"/>
  <c r="J467" i="4" l="1"/>
  <c r="H469" i="4"/>
  <c r="J468" i="4"/>
  <c r="H470" i="4" l="1"/>
  <c r="I469" i="4"/>
  <c r="I470" i="4" s="1"/>
  <c r="J469" i="4" l="1"/>
  <c r="H471" i="4"/>
  <c r="J470" i="4"/>
  <c r="H472" i="4" l="1"/>
  <c r="I471" i="4"/>
  <c r="I472" i="4" s="1"/>
  <c r="J471" i="4" l="1"/>
  <c r="H473" i="4"/>
  <c r="J472" i="4"/>
  <c r="H474" i="4" l="1"/>
  <c r="I473" i="4"/>
  <c r="I474" i="4" s="1"/>
  <c r="J473" i="4" l="1"/>
  <c r="H475" i="4"/>
  <c r="J474" i="4"/>
  <c r="H476" i="4" l="1"/>
  <c r="I475" i="4"/>
  <c r="I476" i="4" s="1"/>
  <c r="J475" i="4" l="1"/>
  <c r="H477" i="4"/>
  <c r="J476" i="4"/>
  <c r="H478" i="4" l="1"/>
  <c r="I477" i="4"/>
  <c r="I478" i="4" s="1"/>
  <c r="J477" i="4" l="1"/>
  <c r="H479" i="4"/>
  <c r="J478" i="4"/>
  <c r="H480" i="4" l="1"/>
  <c r="I479" i="4"/>
  <c r="I480" i="4" s="1"/>
  <c r="J479" i="4" l="1"/>
  <c r="H481" i="4"/>
  <c r="J480" i="4"/>
  <c r="H482" i="4" l="1"/>
  <c r="I481" i="4"/>
  <c r="I482" i="4" s="1"/>
  <c r="J481" i="4" l="1"/>
  <c r="H483" i="4"/>
  <c r="J482" i="4"/>
  <c r="H484" i="4" l="1"/>
  <c r="I483" i="4"/>
  <c r="I484" i="4" s="1"/>
  <c r="J483" i="4" l="1"/>
  <c r="H485" i="4"/>
  <c r="J484" i="4"/>
  <c r="H486" i="4" l="1"/>
  <c r="I485" i="4"/>
  <c r="I486" i="4" s="1"/>
  <c r="J485" i="4" l="1"/>
  <c r="H487" i="4"/>
  <c r="J486" i="4"/>
  <c r="H488" i="4" l="1"/>
  <c r="I487" i="4"/>
  <c r="I488" i="4" s="1"/>
  <c r="J487" i="4" l="1"/>
  <c r="H489" i="4"/>
  <c r="J488" i="4"/>
  <c r="H490" i="4" l="1"/>
  <c r="I489" i="4"/>
  <c r="I490" i="4" s="1"/>
  <c r="J489" i="4" l="1"/>
  <c r="H491" i="4"/>
  <c r="J490" i="4"/>
  <c r="H492" i="4" l="1"/>
  <c r="I491" i="4"/>
  <c r="I492" i="4" s="1"/>
  <c r="J491" i="4" l="1"/>
  <c r="H493" i="4"/>
  <c r="J492" i="4"/>
  <c r="H494" i="4" l="1"/>
  <c r="I493" i="4"/>
  <c r="I494" i="4" s="1"/>
  <c r="J493" i="4" l="1"/>
  <c r="H495" i="4"/>
  <c r="J494" i="4"/>
  <c r="H496" i="4" l="1"/>
  <c r="I495" i="4"/>
  <c r="I496" i="4" s="1"/>
  <c r="J495" i="4" l="1"/>
  <c r="H497" i="4"/>
  <c r="J496" i="4"/>
  <c r="H498" i="4" l="1"/>
  <c r="I497" i="4"/>
  <c r="I498" i="4" s="1"/>
  <c r="J497" i="4" l="1"/>
  <c r="H499" i="4"/>
  <c r="J498" i="4"/>
  <c r="H500" i="4" l="1"/>
  <c r="I499" i="4"/>
  <c r="I500" i="4" s="1"/>
  <c r="J499" i="4" l="1"/>
  <c r="H501" i="4"/>
  <c r="J500" i="4"/>
  <c r="H502" i="4" l="1"/>
  <c r="I501" i="4"/>
  <c r="I502" i="4" s="1"/>
  <c r="J501" i="4" l="1"/>
  <c r="H503" i="4"/>
  <c r="J502" i="4"/>
  <c r="H504" i="4" l="1"/>
  <c r="I503" i="4"/>
  <c r="I504" i="4" s="1"/>
  <c r="J503" i="4" l="1"/>
  <c r="H505" i="4"/>
  <c r="J504" i="4"/>
  <c r="H506" i="4" l="1"/>
  <c r="I505" i="4"/>
  <c r="I506" i="4" s="1"/>
  <c r="J505" i="4" l="1"/>
  <c r="H507" i="4"/>
  <c r="J506" i="4"/>
  <c r="H508" i="4" l="1"/>
  <c r="I507" i="4"/>
  <c r="I508" i="4" s="1"/>
  <c r="J507" i="4" l="1"/>
  <c r="H509" i="4"/>
  <c r="J508" i="4"/>
  <c r="H510" i="4" l="1"/>
  <c r="I509" i="4"/>
  <c r="I510" i="4" s="1"/>
  <c r="J509" i="4" l="1"/>
  <c r="H511" i="4"/>
  <c r="J510" i="4"/>
  <c r="H512" i="4" l="1"/>
  <c r="I511" i="4"/>
  <c r="I512" i="4" s="1"/>
  <c r="J511" i="4" l="1"/>
  <c r="H513" i="4"/>
  <c r="J512" i="4"/>
  <c r="H514" i="4" l="1"/>
  <c r="I513" i="4"/>
  <c r="I514" i="4" s="1"/>
  <c r="J513" i="4" l="1"/>
  <c r="H515" i="4"/>
  <c r="J514" i="4"/>
  <c r="H516" i="4" l="1"/>
  <c r="I515" i="4"/>
  <c r="I516" i="4" s="1"/>
  <c r="J515" i="4" l="1"/>
  <c r="H517" i="4"/>
  <c r="J516" i="4"/>
  <c r="H518" i="4" l="1"/>
  <c r="I517" i="4"/>
  <c r="I518" i="4" s="1"/>
  <c r="J517" i="4" l="1"/>
  <c r="H519" i="4"/>
  <c r="J518" i="4"/>
  <c r="H520" i="4" l="1"/>
  <c r="I519" i="4"/>
  <c r="I520" i="4" s="1"/>
  <c r="J519" i="4" l="1"/>
  <c r="H521" i="4"/>
  <c r="J520" i="4"/>
  <c r="H522" i="4" l="1"/>
  <c r="I521" i="4"/>
  <c r="I522" i="4" s="1"/>
  <c r="J521" i="4" l="1"/>
  <c r="H523" i="4"/>
  <c r="J522" i="4"/>
  <c r="H524" i="4" l="1"/>
  <c r="I523" i="4"/>
  <c r="I524" i="4" s="1"/>
  <c r="J523" i="4" l="1"/>
  <c r="H525" i="4"/>
  <c r="J524" i="4"/>
  <c r="H526" i="4" l="1"/>
  <c r="I525" i="4"/>
  <c r="I526" i="4" s="1"/>
  <c r="J525" i="4" l="1"/>
  <c r="H527" i="4"/>
  <c r="J526" i="4"/>
  <c r="H528" i="4" l="1"/>
  <c r="I527" i="4"/>
  <c r="I528" i="4" s="1"/>
  <c r="J527" i="4" l="1"/>
  <c r="H529" i="4"/>
  <c r="J528" i="4"/>
  <c r="H530" i="4" l="1"/>
  <c r="I529" i="4"/>
  <c r="I530" i="4" s="1"/>
  <c r="J529" i="4" l="1"/>
  <c r="H531" i="4"/>
  <c r="J530" i="4"/>
  <c r="H532" i="4" l="1"/>
  <c r="I531" i="4"/>
  <c r="I532" i="4" s="1"/>
  <c r="J531" i="4" l="1"/>
  <c r="H533" i="4"/>
  <c r="J532" i="4"/>
  <c r="H534" i="4" l="1"/>
  <c r="I533" i="4"/>
  <c r="I534" i="4" s="1"/>
  <c r="J533" i="4" l="1"/>
  <c r="H535" i="4"/>
  <c r="J534" i="4"/>
  <c r="H536" i="4" l="1"/>
  <c r="I535" i="4"/>
  <c r="I536" i="4" s="1"/>
  <c r="J535" i="4" l="1"/>
  <c r="H537" i="4"/>
  <c r="J536" i="4"/>
  <c r="H538" i="4" l="1"/>
  <c r="I537" i="4"/>
  <c r="I538" i="4" s="1"/>
  <c r="J537" i="4" l="1"/>
  <c r="H539" i="4"/>
  <c r="J538" i="4"/>
  <c r="H540" i="4" l="1"/>
  <c r="I539" i="4"/>
  <c r="I540" i="4" s="1"/>
  <c r="J539" i="4" l="1"/>
  <c r="H541" i="4"/>
  <c r="J540" i="4"/>
  <c r="H542" i="4" l="1"/>
  <c r="I541" i="4"/>
  <c r="I542" i="4" s="1"/>
  <c r="J541" i="4" l="1"/>
  <c r="H543" i="4"/>
  <c r="J542" i="4"/>
  <c r="H544" i="4" l="1"/>
  <c r="I543" i="4"/>
  <c r="I544" i="4" s="1"/>
  <c r="J543" i="4" l="1"/>
  <c r="H545" i="4"/>
  <c r="J544" i="4"/>
  <c r="H546" i="4" l="1"/>
  <c r="I545" i="4"/>
  <c r="I546" i="4" s="1"/>
  <c r="J545" i="4" l="1"/>
  <c r="H547" i="4"/>
  <c r="J546" i="4"/>
  <c r="H548" i="4" l="1"/>
  <c r="I547" i="4"/>
  <c r="I548" i="4" s="1"/>
  <c r="J547" i="4" l="1"/>
  <c r="H549" i="4"/>
  <c r="J548" i="4"/>
  <c r="H550" i="4" l="1"/>
  <c r="I549" i="4"/>
  <c r="I550" i="4" s="1"/>
  <c r="J549" i="4" l="1"/>
  <c r="H551" i="4"/>
  <c r="J550" i="4"/>
  <c r="H552" i="4" l="1"/>
  <c r="I551" i="4"/>
  <c r="I552" i="4" s="1"/>
  <c r="J551" i="4" l="1"/>
  <c r="H553" i="4"/>
  <c r="J552" i="4"/>
  <c r="H554" i="4" l="1"/>
  <c r="I553" i="4"/>
  <c r="I554" i="4" s="1"/>
  <c r="J553" i="4" l="1"/>
  <c r="H555" i="4"/>
  <c r="J554" i="4"/>
  <c r="H556" i="4" l="1"/>
  <c r="I555" i="4"/>
  <c r="I556" i="4" s="1"/>
  <c r="J555" i="4" l="1"/>
  <c r="H557" i="4"/>
  <c r="J556" i="4"/>
  <c r="H558" i="4" l="1"/>
  <c r="I557" i="4"/>
  <c r="I558" i="4" s="1"/>
  <c r="J557" i="4" l="1"/>
  <c r="H559" i="4"/>
  <c r="J558" i="4"/>
  <c r="H560" i="4" l="1"/>
  <c r="I559" i="4"/>
  <c r="I560" i="4" s="1"/>
  <c r="J559" i="4" l="1"/>
  <c r="H561" i="4"/>
  <c r="J560" i="4"/>
  <c r="H562" i="4" l="1"/>
  <c r="I561" i="4"/>
  <c r="I562" i="4" s="1"/>
  <c r="J561" i="4" l="1"/>
  <c r="H563" i="4"/>
  <c r="J562" i="4"/>
  <c r="H564" i="4" l="1"/>
  <c r="I563" i="4"/>
  <c r="I564" i="4" s="1"/>
  <c r="J563" i="4" l="1"/>
  <c r="H565" i="4"/>
  <c r="J564" i="4"/>
  <c r="H566" i="4" l="1"/>
  <c r="I565" i="4"/>
  <c r="I566" i="4" s="1"/>
  <c r="J565" i="4" l="1"/>
  <c r="H567" i="4"/>
  <c r="J566" i="4"/>
  <c r="H568" i="4" l="1"/>
  <c r="I567" i="4"/>
  <c r="I568" i="4" s="1"/>
  <c r="J567" i="4" l="1"/>
  <c r="H569" i="4"/>
  <c r="J568" i="4"/>
  <c r="H570" i="4" l="1"/>
  <c r="I569" i="4"/>
  <c r="I570" i="4" s="1"/>
  <c r="J569" i="4" l="1"/>
  <c r="H571" i="4"/>
  <c r="J570" i="4"/>
  <c r="H572" i="4" l="1"/>
  <c r="I571" i="4"/>
  <c r="I572" i="4" s="1"/>
  <c r="J571" i="4" l="1"/>
  <c r="H573" i="4"/>
  <c r="J572" i="4"/>
  <c r="H574" i="4" l="1"/>
  <c r="I573" i="4"/>
  <c r="I574" i="4" s="1"/>
  <c r="J573" i="4" l="1"/>
  <c r="H575" i="4"/>
  <c r="J574" i="4"/>
  <c r="H576" i="4" l="1"/>
  <c r="I575" i="4"/>
  <c r="I576" i="4" s="1"/>
  <c r="J575" i="4" l="1"/>
  <c r="H577" i="4"/>
  <c r="J576" i="4"/>
  <c r="H578" i="4" l="1"/>
  <c r="I577" i="4"/>
  <c r="I578" i="4" s="1"/>
  <c r="J577" i="4" l="1"/>
  <c r="H579" i="4"/>
  <c r="J578" i="4"/>
  <c r="H580" i="4" l="1"/>
  <c r="I579" i="4"/>
  <c r="I580" i="4" s="1"/>
  <c r="J579" i="4" l="1"/>
  <c r="H581" i="4"/>
  <c r="J580" i="4"/>
  <c r="H582" i="4" l="1"/>
  <c r="I581" i="4"/>
  <c r="I582" i="4" s="1"/>
  <c r="J581" i="4" l="1"/>
  <c r="H583" i="4"/>
  <c r="J582" i="4"/>
  <c r="H584" i="4" l="1"/>
  <c r="I583" i="4"/>
  <c r="I584" i="4" s="1"/>
  <c r="J583" i="4" l="1"/>
  <c r="H585" i="4"/>
  <c r="J584" i="4"/>
  <c r="H586" i="4" l="1"/>
  <c r="I585" i="4"/>
  <c r="I586" i="4" s="1"/>
  <c r="J585" i="4" l="1"/>
  <c r="H587" i="4"/>
  <c r="J586" i="4"/>
  <c r="H588" i="4" l="1"/>
  <c r="I587" i="4"/>
  <c r="I588" i="4" s="1"/>
  <c r="J587" i="4" l="1"/>
  <c r="H589" i="4"/>
  <c r="J588" i="4"/>
  <c r="H590" i="4" l="1"/>
  <c r="I589" i="4"/>
  <c r="I590" i="4" s="1"/>
  <c r="J589" i="4" l="1"/>
  <c r="H591" i="4"/>
  <c r="J590" i="4"/>
  <c r="H592" i="4" l="1"/>
  <c r="I591" i="4"/>
  <c r="I592" i="4" s="1"/>
  <c r="J591" i="4" l="1"/>
  <c r="H593" i="4"/>
  <c r="J592" i="4"/>
  <c r="H594" i="4" l="1"/>
  <c r="I593" i="4"/>
  <c r="I594" i="4" s="1"/>
  <c r="J593" i="4" l="1"/>
  <c r="H595" i="4"/>
  <c r="J594" i="4"/>
  <c r="H596" i="4" l="1"/>
  <c r="I595" i="4"/>
  <c r="I596" i="4" s="1"/>
  <c r="J595" i="4" l="1"/>
  <c r="H597" i="4"/>
  <c r="J596" i="4"/>
  <c r="H598" i="4" l="1"/>
  <c r="I597" i="4"/>
  <c r="I598" i="4" s="1"/>
  <c r="J597" i="4" l="1"/>
  <c r="H599" i="4"/>
  <c r="J598" i="4"/>
  <c r="H600" i="4" l="1"/>
  <c r="I599" i="4"/>
  <c r="I600" i="4" s="1"/>
  <c r="J599" i="4" l="1"/>
  <c r="H601" i="4"/>
  <c r="J600" i="4"/>
  <c r="H602" i="4" l="1"/>
  <c r="I601" i="4"/>
  <c r="I602" i="4" s="1"/>
  <c r="J601" i="4" l="1"/>
  <c r="H603" i="4"/>
  <c r="J602" i="4"/>
  <c r="H604" i="4" l="1"/>
  <c r="I603" i="4"/>
  <c r="I604" i="4" s="1"/>
  <c r="J603" i="4" l="1"/>
  <c r="H605" i="4"/>
  <c r="J604" i="4"/>
  <c r="H606" i="4" l="1"/>
  <c r="I605" i="4"/>
  <c r="I606" i="4" s="1"/>
  <c r="J605" i="4" l="1"/>
  <c r="H607" i="4"/>
  <c r="J606" i="4"/>
  <c r="H608" i="4" l="1"/>
  <c r="I607" i="4"/>
  <c r="I608" i="4" s="1"/>
  <c r="J607" i="4" l="1"/>
  <c r="H609" i="4"/>
  <c r="J608" i="4"/>
  <c r="H610" i="4" l="1"/>
  <c r="I609" i="4"/>
  <c r="I610" i="4" s="1"/>
  <c r="J609" i="4" l="1"/>
  <c r="H611" i="4"/>
  <c r="J610" i="4"/>
  <c r="H612" i="4" l="1"/>
  <c r="I611" i="4"/>
  <c r="I612" i="4" s="1"/>
  <c r="J611" i="4" l="1"/>
  <c r="H613" i="4"/>
  <c r="J612" i="4"/>
  <c r="H614" i="4" l="1"/>
  <c r="I613" i="4"/>
  <c r="I614" i="4" s="1"/>
  <c r="J613" i="4" l="1"/>
  <c r="H615" i="4"/>
  <c r="J614" i="4"/>
  <c r="H616" i="4" l="1"/>
  <c r="I615" i="4"/>
  <c r="I616" i="4" s="1"/>
  <c r="J615" i="4" l="1"/>
  <c r="H617" i="4"/>
  <c r="J616" i="4"/>
  <c r="H618" i="4" l="1"/>
  <c r="I617" i="4"/>
  <c r="I618" i="4" s="1"/>
  <c r="J617" i="4" l="1"/>
  <c r="H619" i="4"/>
  <c r="J618" i="4"/>
  <c r="H620" i="4" l="1"/>
  <c r="I619" i="4"/>
  <c r="I620" i="4" s="1"/>
  <c r="J619" i="4" l="1"/>
  <c r="H621" i="4"/>
  <c r="J620" i="4"/>
  <c r="H622" i="4" l="1"/>
  <c r="I621" i="4"/>
  <c r="I622" i="4" s="1"/>
  <c r="J621" i="4" l="1"/>
  <c r="H623" i="4"/>
  <c r="J622" i="4"/>
  <c r="H624" i="4" l="1"/>
  <c r="I623" i="4"/>
  <c r="I624" i="4" s="1"/>
  <c r="J623" i="4" l="1"/>
  <c r="H625" i="4"/>
  <c r="J624" i="4"/>
  <c r="H626" i="4" l="1"/>
  <c r="I625" i="4"/>
  <c r="I626" i="4" s="1"/>
  <c r="J625" i="4" l="1"/>
  <c r="H627" i="4"/>
  <c r="J626" i="4"/>
  <c r="H628" i="4" l="1"/>
  <c r="I627" i="4"/>
  <c r="I628" i="4" s="1"/>
  <c r="J627" i="4" l="1"/>
  <c r="H629" i="4"/>
  <c r="J628" i="4"/>
  <c r="H630" i="4" l="1"/>
  <c r="I629" i="4"/>
  <c r="I630" i="4" s="1"/>
  <c r="J629" i="4" l="1"/>
  <c r="H631" i="4"/>
  <c r="J630" i="4"/>
  <c r="H632" i="4" l="1"/>
  <c r="I631" i="4"/>
  <c r="I632" i="4" s="1"/>
  <c r="J631" i="4" l="1"/>
  <c r="H633" i="4"/>
  <c r="J632" i="4"/>
  <c r="H634" i="4" l="1"/>
  <c r="I633" i="4"/>
  <c r="I634" i="4" s="1"/>
  <c r="J633" i="4" l="1"/>
  <c r="H635" i="4"/>
  <c r="J634" i="4"/>
  <c r="H636" i="4" l="1"/>
  <c r="I635" i="4"/>
  <c r="I636" i="4" s="1"/>
  <c r="J635" i="4" l="1"/>
  <c r="H637" i="4"/>
  <c r="J636" i="4"/>
  <c r="H638" i="4" l="1"/>
  <c r="I637" i="4"/>
  <c r="I638" i="4" s="1"/>
  <c r="J637" i="4" l="1"/>
  <c r="H639" i="4"/>
  <c r="J638" i="4"/>
  <c r="H640" i="4" l="1"/>
  <c r="I639" i="4"/>
  <c r="I640" i="4" s="1"/>
  <c r="J639" i="4" l="1"/>
  <c r="H641" i="4"/>
  <c r="J640" i="4"/>
  <c r="H642" i="4" l="1"/>
  <c r="I641" i="4"/>
  <c r="I642" i="4" s="1"/>
  <c r="J641" i="4" l="1"/>
  <c r="H643" i="4"/>
  <c r="J642" i="4"/>
  <c r="H644" i="4" l="1"/>
  <c r="I643" i="4"/>
  <c r="I644" i="4" s="1"/>
  <c r="J643" i="4" l="1"/>
  <c r="H645" i="4"/>
  <c r="J644" i="4"/>
  <c r="H646" i="4" l="1"/>
  <c r="I645" i="4"/>
  <c r="I646" i="4" s="1"/>
  <c r="J645" i="4" l="1"/>
  <c r="H647" i="4"/>
  <c r="J646" i="4"/>
  <c r="H648" i="4" l="1"/>
  <c r="I647" i="4"/>
  <c r="I648" i="4" s="1"/>
  <c r="J647" i="4" l="1"/>
  <c r="H649" i="4"/>
  <c r="J648" i="4"/>
  <c r="H650" i="4" l="1"/>
  <c r="I649" i="4"/>
  <c r="I650" i="4" s="1"/>
  <c r="J649" i="4" l="1"/>
  <c r="H651" i="4"/>
  <c r="J650" i="4"/>
  <c r="H652" i="4" l="1"/>
  <c r="I651" i="4"/>
  <c r="I652" i="4" s="1"/>
  <c r="J651" i="4" l="1"/>
  <c r="H653" i="4"/>
  <c r="J652" i="4"/>
  <c r="H654" i="4" l="1"/>
  <c r="I653" i="4"/>
  <c r="I654" i="4" s="1"/>
  <c r="J653" i="4" l="1"/>
  <c r="H655" i="4"/>
  <c r="J654" i="4"/>
  <c r="H656" i="4" l="1"/>
  <c r="I655" i="4"/>
  <c r="I656" i="4" s="1"/>
  <c r="J655" i="4" l="1"/>
  <c r="H657" i="4"/>
  <c r="J656" i="4"/>
  <c r="H658" i="4" l="1"/>
  <c r="I657" i="4"/>
  <c r="I658" i="4" s="1"/>
  <c r="J657" i="4" l="1"/>
  <c r="H659" i="4"/>
  <c r="I659" i="4" s="1"/>
  <c r="J658" i="4"/>
  <c r="H660" i="4" l="1"/>
  <c r="J659" i="4"/>
  <c r="H661" i="4" l="1"/>
  <c r="I660" i="4"/>
  <c r="I661" i="4" s="1"/>
  <c r="J660" i="4" l="1"/>
  <c r="H662" i="4"/>
  <c r="J661" i="4"/>
  <c r="H663" i="4" l="1"/>
  <c r="I662" i="4"/>
  <c r="I663" i="4" s="1"/>
  <c r="J662" i="4" l="1"/>
  <c r="H664" i="4"/>
  <c r="J663" i="4"/>
  <c r="H665" i="4" l="1"/>
  <c r="I664" i="4"/>
  <c r="I665" i="4" s="1"/>
  <c r="J664" i="4" l="1"/>
  <c r="H666" i="4"/>
  <c r="J665" i="4"/>
  <c r="H667" i="4" l="1"/>
  <c r="I666" i="4"/>
  <c r="I667" i="4" s="1"/>
  <c r="J666" i="4" l="1"/>
  <c r="H668" i="4"/>
  <c r="J667" i="4"/>
  <c r="H669" i="4" l="1"/>
  <c r="I668" i="4"/>
  <c r="I669" i="4" s="1"/>
  <c r="J668" i="4" l="1"/>
  <c r="H670" i="4"/>
  <c r="J669" i="4"/>
  <c r="H671" i="4" l="1"/>
  <c r="I670" i="4"/>
  <c r="I671" i="4" s="1"/>
  <c r="J670" i="4" l="1"/>
  <c r="H672" i="4"/>
  <c r="J671" i="4"/>
  <c r="H673" i="4" l="1"/>
  <c r="I672" i="4"/>
  <c r="I673" i="4" s="1"/>
  <c r="J672" i="4" l="1"/>
  <c r="H674" i="4"/>
  <c r="J673" i="4"/>
  <c r="H675" i="4" l="1"/>
  <c r="I674" i="4"/>
  <c r="I675" i="4" s="1"/>
  <c r="J674" i="4" l="1"/>
  <c r="H676" i="4"/>
  <c r="J675" i="4"/>
  <c r="H677" i="4" l="1"/>
  <c r="I676" i="4"/>
  <c r="I677" i="4" s="1"/>
  <c r="J676" i="4" l="1"/>
  <c r="H678" i="4"/>
  <c r="J677" i="4"/>
  <c r="H679" i="4" l="1"/>
  <c r="I678" i="4"/>
  <c r="I679" i="4" s="1"/>
  <c r="J678" i="4" l="1"/>
  <c r="H680" i="4"/>
  <c r="J679" i="4"/>
  <c r="H681" i="4" l="1"/>
  <c r="I680" i="4"/>
  <c r="I681" i="4" s="1"/>
  <c r="J680" i="4" l="1"/>
  <c r="H682" i="4"/>
  <c r="I682" i="4" s="1"/>
  <c r="J681" i="4"/>
  <c r="H683" i="4" l="1"/>
  <c r="J682" i="4"/>
  <c r="I683" i="4"/>
  <c r="H684" i="4" l="1"/>
  <c r="J683" i="4"/>
  <c r="H685" i="4" l="1"/>
  <c r="I684" i="4"/>
  <c r="I685" i="4" s="1"/>
  <c r="J684" i="4" l="1"/>
  <c r="H686" i="4"/>
  <c r="J685" i="4"/>
  <c r="H687" i="4" l="1"/>
  <c r="I686" i="4"/>
  <c r="I687" i="4" s="1"/>
  <c r="J686" i="4" l="1"/>
  <c r="H688" i="4"/>
  <c r="J687" i="4"/>
  <c r="H689" i="4" l="1"/>
  <c r="I688" i="4"/>
  <c r="I689" i="4" s="1"/>
  <c r="J688" i="4" l="1"/>
  <c r="H690" i="4"/>
  <c r="J689" i="4"/>
  <c r="H691" i="4" l="1"/>
  <c r="I690" i="4"/>
  <c r="I691" i="4" s="1"/>
  <c r="J690" i="4" l="1"/>
  <c r="H692" i="4"/>
  <c r="J691" i="4"/>
  <c r="H693" i="4" l="1"/>
  <c r="I692" i="4"/>
  <c r="I693" i="4" s="1"/>
  <c r="J692" i="4" l="1"/>
  <c r="H694" i="4"/>
  <c r="J693" i="4"/>
  <c r="H695" i="4" l="1"/>
  <c r="I694" i="4"/>
  <c r="I695" i="4" s="1"/>
  <c r="J694" i="4" l="1"/>
  <c r="H696" i="4"/>
  <c r="J695" i="4"/>
  <c r="H697" i="4" l="1"/>
  <c r="I696" i="4"/>
  <c r="I697" i="4" s="1"/>
  <c r="J696" i="4" l="1"/>
  <c r="H698" i="4"/>
  <c r="J697" i="4"/>
  <c r="H699" i="4" l="1"/>
  <c r="I698" i="4"/>
  <c r="I699" i="4" s="1"/>
  <c r="J698" i="4" l="1"/>
  <c r="H700" i="4"/>
  <c r="J699" i="4"/>
  <c r="H701" i="4" l="1"/>
  <c r="I700" i="4"/>
  <c r="I701" i="4" s="1"/>
  <c r="J700" i="4" l="1"/>
  <c r="H702" i="4"/>
  <c r="J701" i="4"/>
  <c r="H703" i="4" l="1"/>
  <c r="I702" i="4"/>
  <c r="I703" i="4" s="1"/>
  <c r="J702" i="4" l="1"/>
  <c r="H704" i="4"/>
  <c r="J703" i="4"/>
  <c r="H705" i="4" l="1"/>
  <c r="I704" i="4"/>
  <c r="I705" i="4" s="1"/>
  <c r="J704" i="4" l="1"/>
  <c r="H706" i="4"/>
  <c r="J705" i="4"/>
  <c r="H707" i="4" l="1"/>
  <c r="I706" i="4"/>
  <c r="I707" i="4" s="1"/>
  <c r="J706" i="4" l="1"/>
  <c r="H708" i="4"/>
  <c r="J707" i="4"/>
  <c r="H709" i="4" l="1"/>
  <c r="I708" i="4"/>
  <c r="I709" i="4" s="1"/>
  <c r="J708" i="4" l="1"/>
  <c r="H710" i="4"/>
  <c r="J709" i="4"/>
  <c r="H711" i="4" l="1"/>
  <c r="I710" i="4"/>
  <c r="I711" i="4" s="1"/>
  <c r="J710" i="4" l="1"/>
  <c r="H712" i="4"/>
  <c r="J711" i="4"/>
  <c r="H713" i="4" l="1"/>
  <c r="I712" i="4"/>
  <c r="I713" i="4" s="1"/>
  <c r="J712" i="4" l="1"/>
  <c r="H714" i="4"/>
  <c r="J713" i="4"/>
  <c r="H715" i="4" l="1"/>
  <c r="I714" i="4"/>
  <c r="I715" i="4" s="1"/>
  <c r="J714" i="4" l="1"/>
  <c r="H716" i="4"/>
  <c r="J715" i="4"/>
  <c r="H717" i="4" l="1"/>
  <c r="I716" i="4"/>
  <c r="I717" i="4" s="1"/>
  <c r="J716" i="4" l="1"/>
  <c r="H718" i="4"/>
  <c r="J717" i="4"/>
  <c r="H719" i="4" l="1"/>
  <c r="I718" i="4"/>
  <c r="I719" i="4" s="1"/>
  <c r="J718" i="4" l="1"/>
  <c r="H720" i="4"/>
  <c r="J719" i="4"/>
  <c r="H721" i="4" l="1"/>
  <c r="I720" i="4"/>
  <c r="I721" i="4" s="1"/>
  <c r="J720" i="4" l="1"/>
  <c r="H722" i="4"/>
  <c r="J721" i="4"/>
  <c r="H723" i="4" l="1"/>
  <c r="I722" i="4"/>
  <c r="I723" i="4" s="1"/>
  <c r="J722" i="4" l="1"/>
  <c r="H724" i="4"/>
  <c r="J723" i="4"/>
  <c r="H725" i="4" l="1"/>
  <c r="I724" i="4"/>
  <c r="I725" i="4" s="1"/>
  <c r="J724" i="4" l="1"/>
  <c r="H726" i="4"/>
  <c r="J725" i="4"/>
  <c r="H727" i="4" l="1"/>
  <c r="I726" i="4"/>
  <c r="I727" i="4" s="1"/>
  <c r="J726" i="4" l="1"/>
  <c r="H728" i="4"/>
  <c r="J727" i="4"/>
  <c r="H729" i="4" l="1"/>
  <c r="I728" i="4"/>
  <c r="I729" i="4" s="1"/>
  <c r="J728" i="4" l="1"/>
  <c r="H730" i="4"/>
  <c r="I730" i="4" s="1"/>
  <c r="J729" i="4"/>
  <c r="H731" i="4" l="1"/>
  <c r="J730" i="4"/>
  <c r="I731" i="4"/>
  <c r="H732" i="4" l="1"/>
  <c r="I732" i="4" s="1"/>
  <c r="J731" i="4"/>
  <c r="H733" i="4" l="1"/>
  <c r="J732" i="4"/>
  <c r="I733" i="4"/>
  <c r="H734" i="4" l="1"/>
  <c r="J733" i="4"/>
  <c r="H735" i="4" l="1"/>
  <c r="I734" i="4"/>
  <c r="I735" i="4" s="1"/>
  <c r="J734" i="4" l="1"/>
  <c r="H736" i="4"/>
  <c r="J735" i="4"/>
  <c r="H737" i="4" l="1"/>
  <c r="I736" i="4"/>
  <c r="I737" i="4" s="1"/>
  <c r="J736" i="4" l="1"/>
  <c r="H738" i="4"/>
  <c r="J737" i="4"/>
  <c r="H739" i="4" l="1"/>
  <c r="I738" i="4"/>
  <c r="I739" i="4" s="1"/>
  <c r="J738" i="4" l="1"/>
  <c r="H740" i="4"/>
  <c r="J739" i="4"/>
  <c r="H741" i="4" l="1"/>
  <c r="I740" i="4"/>
  <c r="I741" i="4" s="1"/>
  <c r="J740" i="4" l="1"/>
  <c r="H742" i="4"/>
  <c r="J741" i="4"/>
  <c r="H743" i="4" l="1"/>
  <c r="I742" i="4"/>
  <c r="I743" i="4" s="1"/>
  <c r="J742" i="4" l="1"/>
  <c r="H744" i="4"/>
  <c r="J743" i="4"/>
  <c r="H745" i="4" l="1"/>
  <c r="I744" i="4"/>
  <c r="I745" i="4" s="1"/>
  <c r="J744" i="4" l="1"/>
  <c r="H746" i="4"/>
  <c r="J745" i="4"/>
  <c r="H747" i="4" l="1"/>
  <c r="I746" i="4"/>
  <c r="I747" i="4" s="1"/>
  <c r="J746" i="4" l="1"/>
  <c r="H748" i="4"/>
  <c r="J747" i="4"/>
  <c r="H749" i="4" l="1"/>
  <c r="I748" i="4"/>
  <c r="I749" i="4" s="1"/>
  <c r="J748" i="4" l="1"/>
  <c r="H750" i="4"/>
  <c r="J749" i="4"/>
  <c r="H751" i="4" l="1"/>
  <c r="I750" i="4"/>
  <c r="I751" i="4" s="1"/>
  <c r="J750" i="4" l="1"/>
  <c r="H752" i="4"/>
  <c r="J751" i="4"/>
  <c r="H753" i="4" l="1"/>
  <c r="I752" i="4"/>
  <c r="I753" i="4" s="1"/>
  <c r="J752" i="4" l="1"/>
  <c r="H754" i="4"/>
  <c r="J753" i="4"/>
  <c r="H755" i="4" l="1"/>
  <c r="I754" i="4"/>
  <c r="I755" i="4" s="1"/>
  <c r="J754" i="4" l="1"/>
  <c r="H756" i="4"/>
  <c r="J755" i="4"/>
  <c r="H757" i="4" l="1"/>
  <c r="I756" i="4"/>
  <c r="I757" i="4" s="1"/>
  <c r="J756" i="4" l="1"/>
  <c r="H758" i="4"/>
  <c r="J757" i="4"/>
  <c r="H759" i="4" l="1"/>
  <c r="I758" i="4"/>
  <c r="I759" i="4" s="1"/>
  <c r="J758" i="4" l="1"/>
  <c r="H760" i="4"/>
  <c r="J759" i="4"/>
  <c r="H761" i="4" l="1"/>
  <c r="I760" i="4"/>
  <c r="I761" i="4" s="1"/>
  <c r="J760" i="4" l="1"/>
  <c r="H762" i="4"/>
  <c r="J761" i="4"/>
  <c r="H763" i="4" l="1"/>
  <c r="I762" i="4"/>
  <c r="I763" i="4" s="1"/>
  <c r="J762" i="4" l="1"/>
  <c r="H764" i="4"/>
  <c r="J763" i="4"/>
  <c r="H765" i="4" l="1"/>
  <c r="I764" i="4"/>
  <c r="I765" i="4" s="1"/>
  <c r="J764" i="4" l="1"/>
  <c r="H766" i="4"/>
  <c r="J765" i="4"/>
  <c r="H767" i="4" l="1"/>
  <c r="I766" i="4"/>
  <c r="I767" i="4" s="1"/>
  <c r="J766" i="4" l="1"/>
  <c r="H768" i="4"/>
  <c r="J767" i="4"/>
  <c r="H769" i="4" l="1"/>
  <c r="I768" i="4"/>
  <c r="I769" i="4" s="1"/>
  <c r="J768" i="4" l="1"/>
  <c r="I770" i="4"/>
  <c r="H770" i="4"/>
  <c r="J769" i="4"/>
  <c r="H771" i="4" l="1"/>
  <c r="J770" i="4"/>
  <c r="H772" i="4" l="1"/>
  <c r="I771" i="4"/>
  <c r="I772" i="4" s="1"/>
  <c r="J771" i="4" l="1"/>
  <c r="H773" i="4"/>
  <c r="J772" i="4"/>
  <c r="H774" i="4" l="1"/>
  <c r="I773" i="4"/>
  <c r="I774" i="4" s="1"/>
  <c r="J773" i="4" l="1"/>
  <c r="H775" i="4"/>
  <c r="J774" i="4"/>
  <c r="H776" i="4" l="1"/>
  <c r="I775" i="4"/>
  <c r="I776" i="4" s="1"/>
  <c r="J775" i="4" l="1"/>
  <c r="H777" i="4"/>
  <c r="J776" i="4"/>
  <c r="H778" i="4" l="1"/>
  <c r="I777" i="4"/>
  <c r="I778" i="4" s="1"/>
  <c r="J777" i="4" l="1"/>
  <c r="H779" i="4"/>
  <c r="J778" i="4"/>
  <c r="H780" i="4" l="1"/>
  <c r="I779" i="4"/>
  <c r="I780" i="4" s="1"/>
  <c r="J779" i="4" l="1"/>
  <c r="H781" i="4"/>
  <c r="J780" i="4"/>
  <c r="H782" i="4" l="1"/>
  <c r="I781" i="4"/>
  <c r="I782" i="4" s="1"/>
  <c r="J781" i="4" l="1"/>
  <c r="H783" i="4"/>
  <c r="J782" i="4"/>
  <c r="H784" i="4" l="1"/>
  <c r="I783" i="4"/>
  <c r="I784" i="4" s="1"/>
  <c r="J783" i="4" l="1"/>
  <c r="H785" i="4"/>
  <c r="J784" i="4"/>
  <c r="H786" i="4" l="1"/>
  <c r="I785" i="4"/>
  <c r="I786" i="4" s="1"/>
  <c r="J785" i="4" l="1"/>
  <c r="H787" i="4"/>
  <c r="J786" i="4"/>
  <c r="H788" i="4" l="1"/>
  <c r="I787" i="4"/>
  <c r="I788" i="4" s="1"/>
  <c r="J787" i="4" l="1"/>
  <c r="H789" i="4"/>
  <c r="J788" i="4"/>
  <c r="H790" i="4" l="1"/>
  <c r="I789" i="4"/>
  <c r="I790" i="4" s="1"/>
  <c r="J789" i="4" l="1"/>
  <c r="H791" i="4"/>
  <c r="J790" i="4"/>
  <c r="H792" i="4" l="1"/>
  <c r="I791" i="4"/>
  <c r="I792" i="4" s="1"/>
  <c r="J791" i="4" l="1"/>
  <c r="H793" i="4"/>
  <c r="J792" i="4"/>
  <c r="H794" i="4" l="1"/>
  <c r="I793" i="4"/>
  <c r="I794" i="4" s="1"/>
  <c r="J793" i="4" l="1"/>
  <c r="H795" i="4"/>
  <c r="J794" i="4"/>
  <c r="H796" i="4" l="1"/>
  <c r="I795" i="4"/>
  <c r="I796" i="4" s="1"/>
  <c r="J795" i="4" l="1"/>
  <c r="H797" i="4"/>
  <c r="J796" i="4"/>
  <c r="H798" i="4" l="1"/>
  <c r="I797" i="4"/>
  <c r="I798" i="4" s="1"/>
  <c r="J797" i="4" l="1"/>
  <c r="H799" i="4"/>
  <c r="J798" i="4"/>
  <c r="H800" i="4" l="1"/>
  <c r="I799" i="4"/>
  <c r="I800" i="4" s="1"/>
  <c r="J799" i="4" l="1"/>
  <c r="H801" i="4"/>
  <c r="J800" i="4"/>
  <c r="H802" i="4" l="1"/>
  <c r="I801" i="4"/>
  <c r="I802" i="4" s="1"/>
  <c r="J801" i="4" l="1"/>
  <c r="H803" i="4"/>
  <c r="J802" i="4"/>
  <c r="H804" i="4" l="1"/>
  <c r="I803" i="4"/>
  <c r="I804" i="4" s="1"/>
  <c r="J803" i="4" l="1"/>
  <c r="H805" i="4"/>
  <c r="J804" i="4"/>
  <c r="H806" i="4" l="1"/>
  <c r="I805" i="4"/>
  <c r="I806" i="4" s="1"/>
  <c r="J805" i="4" l="1"/>
  <c r="H807" i="4"/>
  <c r="J806" i="4"/>
  <c r="H808" i="4" l="1"/>
  <c r="I807" i="4"/>
  <c r="I808" i="4" s="1"/>
  <c r="J807" i="4" l="1"/>
  <c r="H809" i="4"/>
  <c r="J808" i="4"/>
  <c r="H810" i="4" l="1"/>
  <c r="I809" i="4"/>
  <c r="I810" i="4" s="1"/>
  <c r="J809" i="4" l="1"/>
  <c r="H811" i="4"/>
  <c r="J810" i="4"/>
  <c r="H812" i="4" l="1"/>
  <c r="I811" i="4"/>
  <c r="I812" i="4" s="1"/>
  <c r="J811" i="4" l="1"/>
  <c r="H813" i="4"/>
  <c r="J812" i="4"/>
  <c r="H814" i="4" l="1"/>
  <c r="I813" i="4"/>
  <c r="I814" i="4" s="1"/>
  <c r="J813" i="4" l="1"/>
  <c r="H815" i="4"/>
  <c r="J814" i="4"/>
  <c r="H816" i="4" l="1"/>
  <c r="I815" i="4"/>
  <c r="I816" i="4" s="1"/>
  <c r="J815" i="4" l="1"/>
  <c r="H817" i="4"/>
  <c r="J816" i="4"/>
  <c r="H818" i="4" l="1"/>
  <c r="I817" i="4"/>
  <c r="I818" i="4" s="1"/>
  <c r="J817" i="4" l="1"/>
  <c r="H819" i="4"/>
  <c r="J818" i="4"/>
  <c r="H820" i="4" l="1"/>
  <c r="I819" i="4"/>
  <c r="I820" i="4" s="1"/>
  <c r="J819" i="4" l="1"/>
  <c r="H821" i="4"/>
  <c r="J820" i="4"/>
  <c r="H822" i="4" l="1"/>
  <c r="I821" i="4"/>
  <c r="I822" i="4" s="1"/>
  <c r="J821" i="4" l="1"/>
  <c r="H823" i="4"/>
  <c r="J822" i="4"/>
  <c r="H824" i="4" l="1"/>
  <c r="I823" i="4"/>
  <c r="I824" i="4" s="1"/>
  <c r="J823" i="4" l="1"/>
  <c r="H825" i="4"/>
  <c r="J824" i="4"/>
  <c r="H826" i="4" l="1"/>
  <c r="I825" i="4"/>
  <c r="I826" i="4" s="1"/>
  <c r="J825" i="4" l="1"/>
  <c r="H827" i="4"/>
  <c r="J826" i="4"/>
  <c r="H828" i="4" l="1"/>
  <c r="I827" i="4"/>
  <c r="I828" i="4" s="1"/>
  <c r="J827" i="4" l="1"/>
  <c r="H829" i="4"/>
  <c r="J828" i="4"/>
  <c r="H830" i="4" l="1"/>
  <c r="I829" i="4"/>
  <c r="I830" i="4" s="1"/>
  <c r="J829" i="4" l="1"/>
  <c r="H831" i="4"/>
  <c r="J830" i="4"/>
  <c r="H832" i="4" l="1"/>
  <c r="I831" i="4"/>
  <c r="I832" i="4" s="1"/>
  <c r="J831" i="4" l="1"/>
  <c r="H833" i="4"/>
  <c r="I833" i="4" s="1"/>
  <c r="J832" i="4"/>
  <c r="H834" i="4" l="1"/>
  <c r="J833" i="4"/>
  <c r="I834" i="4"/>
  <c r="H835" i="4" l="1"/>
  <c r="J834" i="4"/>
  <c r="H836" i="4" l="1"/>
  <c r="I835" i="4"/>
  <c r="I836" i="4" s="1"/>
  <c r="J835" i="4" l="1"/>
  <c r="H837" i="4"/>
  <c r="J836" i="4"/>
  <c r="H838" i="4" l="1"/>
  <c r="I837" i="4"/>
  <c r="I838" i="4" s="1"/>
  <c r="J837" i="4" l="1"/>
  <c r="H839" i="4"/>
  <c r="J838" i="4"/>
  <c r="H840" i="4" l="1"/>
  <c r="I839" i="4"/>
  <c r="I840" i="4" s="1"/>
  <c r="J839" i="4" l="1"/>
  <c r="H841" i="4"/>
  <c r="J840" i="4"/>
  <c r="H842" i="4" l="1"/>
  <c r="I841" i="4"/>
  <c r="I842" i="4" s="1"/>
  <c r="J841" i="4" l="1"/>
  <c r="H843" i="4"/>
  <c r="J842" i="4"/>
  <c r="H844" i="4" l="1"/>
  <c r="I843" i="4"/>
  <c r="I844" i="4" s="1"/>
  <c r="J843" i="4" l="1"/>
  <c r="H845" i="4"/>
  <c r="J844" i="4"/>
  <c r="H846" i="4" l="1"/>
  <c r="I845" i="4"/>
  <c r="I846" i="4" s="1"/>
  <c r="J845" i="4" l="1"/>
  <c r="H847" i="4"/>
  <c r="J846" i="4"/>
  <c r="H848" i="4" l="1"/>
  <c r="I847" i="4"/>
  <c r="I848" i="4" s="1"/>
  <c r="J847" i="4" l="1"/>
  <c r="H849" i="4"/>
  <c r="J848" i="4"/>
  <c r="H850" i="4" l="1"/>
  <c r="I849" i="4"/>
  <c r="I850" i="4" s="1"/>
  <c r="J849" i="4" l="1"/>
  <c r="H851" i="4"/>
  <c r="J850" i="4"/>
  <c r="H852" i="4" l="1"/>
  <c r="I851" i="4"/>
  <c r="I852" i="4" s="1"/>
  <c r="J851" i="4" l="1"/>
  <c r="H853" i="4"/>
  <c r="J852" i="4"/>
  <c r="H854" i="4" l="1"/>
  <c r="I853" i="4"/>
  <c r="I854" i="4" s="1"/>
  <c r="J853" i="4" l="1"/>
  <c r="H855" i="4"/>
  <c r="J854" i="4"/>
  <c r="H856" i="4" l="1"/>
  <c r="I855" i="4"/>
  <c r="I856" i="4" s="1"/>
  <c r="J855" i="4" l="1"/>
  <c r="H857" i="4"/>
  <c r="J856" i="4"/>
  <c r="H858" i="4" l="1"/>
  <c r="I857" i="4"/>
  <c r="I858" i="4" s="1"/>
  <c r="J857" i="4" l="1"/>
  <c r="H859" i="4"/>
  <c r="J858" i="4"/>
  <c r="H860" i="4" l="1"/>
  <c r="I859" i="4"/>
  <c r="I860" i="4" s="1"/>
  <c r="J859" i="4" l="1"/>
  <c r="H861" i="4"/>
  <c r="J860" i="4"/>
  <c r="H862" i="4" l="1"/>
  <c r="I861" i="4"/>
  <c r="I862" i="4" s="1"/>
  <c r="J861" i="4" l="1"/>
  <c r="H863" i="4"/>
  <c r="J862" i="4"/>
  <c r="H864" i="4" l="1"/>
  <c r="I863" i="4"/>
  <c r="I864" i="4" s="1"/>
  <c r="J863" i="4" l="1"/>
  <c r="H865" i="4"/>
  <c r="J864" i="4"/>
  <c r="H866" i="4" l="1"/>
  <c r="I865" i="4"/>
  <c r="I866" i="4" s="1"/>
  <c r="J865" i="4" l="1"/>
  <c r="H867" i="4"/>
  <c r="J866" i="4"/>
  <c r="H868" i="4" l="1"/>
  <c r="I867" i="4"/>
  <c r="I868" i="4" s="1"/>
  <c r="J867" i="4" l="1"/>
  <c r="H869" i="4"/>
  <c r="J868" i="4"/>
  <c r="H870" i="4" l="1"/>
  <c r="I869" i="4"/>
  <c r="I870" i="4" s="1"/>
  <c r="J869" i="4" l="1"/>
  <c r="H871" i="4"/>
  <c r="J870" i="4"/>
  <c r="H872" i="4" l="1"/>
  <c r="I871" i="4"/>
  <c r="I872" i="4" s="1"/>
  <c r="J871" i="4" l="1"/>
  <c r="H873" i="4"/>
  <c r="J872" i="4"/>
  <c r="H874" i="4" l="1"/>
  <c r="I873" i="4"/>
  <c r="I874" i="4" s="1"/>
  <c r="J873" i="4" l="1"/>
  <c r="H875" i="4"/>
  <c r="J874" i="4"/>
  <c r="H876" i="4" l="1"/>
  <c r="I875" i="4"/>
  <c r="I876" i="4" s="1"/>
  <c r="J875" i="4" l="1"/>
  <c r="H877" i="4"/>
  <c r="J876" i="4"/>
  <c r="H878" i="4" l="1"/>
  <c r="I877" i="4"/>
  <c r="I878" i="4" s="1"/>
  <c r="J877" i="4" l="1"/>
  <c r="H879" i="4"/>
  <c r="J878" i="4"/>
  <c r="H880" i="4" l="1"/>
  <c r="I879" i="4"/>
  <c r="I880" i="4" s="1"/>
  <c r="J879" i="4" l="1"/>
  <c r="H881" i="4"/>
  <c r="J880" i="4"/>
  <c r="H882" i="4" l="1"/>
  <c r="I881" i="4"/>
  <c r="I882" i="4" s="1"/>
  <c r="J881" i="4" l="1"/>
  <c r="H883" i="4"/>
  <c r="J882" i="4"/>
  <c r="H884" i="4" l="1"/>
  <c r="I883" i="4"/>
  <c r="I884" i="4" s="1"/>
  <c r="J883" i="4" l="1"/>
  <c r="H885" i="4"/>
  <c r="J884" i="4"/>
  <c r="H886" i="4" l="1"/>
  <c r="I885" i="4"/>
  <c r="I886" i="4" s="1"/>
  <c r="J885" i="4" l="1"/>
  <c r="H887" i="4"/>
  <c r="J886" i="4"/>
  <c r="H888" i="4" l="1"/>
  <c r="I887" i="4"/>
  <c r="I888" i="4" s="1"/>
  <c r="J887" i="4" l="1"/>
  <c r="H889" i="4"/>
  <c r="J888" i="4"/>
  <c r="H890" i="4" l="1"/>
  <c r="I889" i="4"/>
  <c r="I890" i="4" s="1"/>
  <c r="J889" i="4" l="1"/>
  <c r="H891" i="4"/>
  <c r="J890" i="4"/>
  <c r="H892" i="4" l="1"/>
  <c r="I891" i="4"/>
  <c r="I892" i="4" s="1"/>
  <c r="J891" i="4" l="1"/>
  <c r="H893" i="4"/>
  <c r="J892" i="4"/>
  <c r="H894" i="4" l="1"/>
  <c r="I893" i="4"/>
  <c r="I894" i="4" s="1"/>
  <c r="J893" i="4" l="1"/>
  <c r="H895" i="4"/>
  <c r="J894" i="4"/>
  <c r="H896" i="4" l="1"/>
  <c r="I895" i="4"/>
  <c r="I896" i="4" s="1"/>
  <c r="J895" i="4" l="1"/>
  <c r="H897" i="4"/>
  <c r="J896" i="4"/>
  <c r="H898" i="4" l="1"/>
  <c r="I897" i="4"/>
  <c r="I898" i="4" s="1"/>
  <c r="J897" i="4" l="1"/>
  <c r="H899" i="4"/>
  <c r="J898" i="4"/>
  <c r="H900" i="4" l="1"/>
  <c r="I899" i="4"/>
  <c r="I900" i="4" s="1"/>
  <c r="J899" i="4" l="1"/>
  <c r="H901" i="4"/>
  <c r="J900" i="4"/>
  <c r="H902" i="4" l="1"/>
  <c r="I901" i="4"/>
  <c r="I902" i="4" s="1"/>
  <c r="J901" i="4" l="1"/>
  <c r="H903" i="4"/>
  <c r="J902" i="4"/>
  <c r="H904" i="4" l="1"/>
  <c r="I903" i="4"/>
  <c r="I904" i="4" s="1"/>
  <c r="J903" i="4" l="1"/>
  <c r="H905" i="4"/>
  <c r="J904" i="4"/>
  <c r="H906" i="4" l="1"/>
  <c r="I905" i="4"/>
  <c r="I906" i="4" s="1"/>
  <c r="J905" i="4" l="1"/>
  <c r="H907" i="4"/>
  <c r="J906" i="4"/>
  <c r="H908" i="4" l="1"/>
  <c r="I907" i="4"/>
  <c r="I908" i="4" s="1"/>
  <c r="J907" i="4" l="1"/>
  <c r="H909" i="4"/>
  <c r="J908" i="4"/>
  <c r="H910" i="4" l="1"/>
  <c r="I909" i="4"/>
  <c r="I910" i="4" s="1"/>
  <c r="J909" i="4" l="1"/>
  <c r="H911" i="4"/>
  <c r="J910" i="4"/>
  <c r="H912" i="4" l="1"/>
  <c r="I911" i="4"/>
  <c r="I912" i="4" s="1"/>
  <c r="J911" i="4" l="1"/>
  <c r="H913" i="4"/>
  <c r="J912" i="4"/>
  <c r="H914" i="4" l="1"/>
  <c r="I913" i="4"/>
  <c r="I914" i="4" s="1"/>
  <c r="J913" i="4" l="1"/>
  <c r="H915" i="4"/>
  <c r="J914" i="4"/>
  <c r="H916" i="4" l="1"/>
  <c r="I915" i="4"/>
  <c r="I916" i="4" s="1"/>
  <c r="J915" i="4" l="1"/>
  <c r="H917" i="4"/>
  <c r="J916" i="4"/>
  <c r="H918" i="4" l="1"/>
  <c r="I917" i="4"/>
  <c r="I918" i="4" s="1"/>
  <c r="J917" i="4" l="1"/>
  <c r="H919" i="4"/>
  <c r="J918" i="4"/>
  <c r="H920" i="4" l="1"/>
  <c r="I919" i="4"/>
  <c r="I920" i="4" s="1"/>
  <c r="J919" i="4" l="1"/>
  <c r="H921" i="4"/>
  <c r="J920" i="4"/>
  <c r="H922" i="4" l="1"/>
  <c r="I921" i="4"/>
  <c r="I922" i="4" s="1"/>
  <c r="J921" i="4" l="1"/>
  <c r="H923" i="4"/>
  <c r="J922" i="4"/>
  <c r="H924" i="4" l="1"/>
  <c r="I923" i="4"/>
  <c r="I924" i="4" s="1"/>
  <c r="J923" i="4" l="1"/>
  <c r="H925" i="4"/>
  <c r="J924" i="4"/>
  <c r="H926" i="4" l="1"/>
  <c r="I925" i="4"/>
  <c r="I926" i="4" s="1"/>
  <c r="J925" i="4" l="1"/>
  <c r="H927" i="4"/>
  <c r="J926" i="4"/>
  <c r="H928" i="4" l="1"/>
  <c r="I927" i="4"/>
  <c r="I928" i="4" s="1"/>
  <c r="J927" i="4" l="1"/>
  <c r="H929" i="4"/>
  <c r="J928" i="4"/>
  <c r="H930" i="4" l="1"/>
  <c r="I929" i="4"/>
  <c r="I930" i="4" s="1"/>
  <c r="J929" i="4" l="1"/>
  <c r="H931" i="4"/>
  <c r="J930" i="4"/>
  <c r="H932" i="4" l="1"/>
  <c r="I931" i="4"/>
  <c r="I932" i="4" s="1"/>
  <c r="J931" i="4" l="1"/>
  <c r="H933" i="4"/>
  <c r="J932" i="4"/>
  <c r="H934" i="4" l="1"/>
  <c r="I933" i="4"/>
  <c r="I934" i="4" s="1"/>
  <c r="J933" i="4" l="1"/>
  <c r="H935" i="4"/>
  <c r="J934" i="4"/>
  <c r="H936" i="4" l="1"/>
  <c r="I935" i="4"/>
  <c r="I936" i="4" s="1"/>
  <c r="J935" i="4" l="1"/>
  <c r="H937" i="4"/>
  <c r="J936" i="4"/>
  <c r="H938" i="4" l="1"/>
  <c r="I937" i="4"/>
  <c r="I938" i="4" s="1"/>
  <c r="J937" i="4" l="1"/>
  <c r="H939" i="4"/>
  <c r="J938" i="4"/>
  <c r="H940" i="4" l="1"/>
  <c r="I939" i="4"/>
  <c r="I940" i="4" s="1"/>
  <c r="J939" i="4" l="1"/>
  <c r="H941" i="4"/>
  <c r="J940" i="4"/>
  <c r="H942" i="4" l="1"/>
  <c r="I941" i="4"/>
  <c r="I942" i="4" s="1"/>
  <c r="J941" i="4" l="1"/>
  <c r="H943" i="4"/>
  <c r="J942" i="4"/>
  <c r="H944" i="4" l="1"/>
  <c r="I943" i="4"/>
  <c r="I944" i="4" s="1"/>
  <c r="J943" i="4" l="1"/>
  <c r="H945" i="4"/>
  <c r="J944" i="4"/>
  <c r="H946" i="4" l="1"/>
  <c r="I945" i="4"/>
  <c r="I946" i="4" s="1"/>
  <c r="J945" i="4" l="1"/>
  <c r="H947" i="4"/>
  <c r="J946" i="4"/>
  <c r="H948" i="4" l="1"/>
  <c r="I947" i="4"/>
  <c r="I948" i="4" s="1"/>
  <c r="J947" i="4" l="1"/>
  <c r="H949" i="4"/>
  <c r="J948" i="4"/>
  <c r="H950" i="4" l="1"/>
  <c r="I949" i="4"/>
  <c r="I950" i="4" s="1"/>
  <c r="J949" i="4" l="1"/>
  <c r="H951" i="4"/>
  <c r="J950" i="4"/>
  <c r="H952" i="4" l="1"/>
  <c r="I951" i="4"/>
  <c r="I952" i="4" s="1"/>
  <c r="J951" i="4" l="1"/>
  <c r="H953" i="4"/>
  <c r="J952" i="4"/>
  <c r="H954" i="4" l="1"/>
  <c r="I953" i="4"/>
  <c r="I954" i="4" s="1"/>
  <c r="J953" i="4" l="1"/>
  <c r="H955" i="4"/>
  <c r="J954" i="4"/>
  <c r="H956" i="4" l="1"/>
  <c r="I955" i="4"/>
  <c r="I956" i="4" s="1"/>
  <c r="J955" i="4" l="1"/>
  <c r="H957" i="4"/>
  <c r="J956" i="4"/>
  <c r="H958" i="4" l="1"/>
  <c r="I957" i="4"/>
  <c r="I958" i="4" s="1"/>
  <c r="J957" i="4" l="1"/>
  <c r="H959" i="4"/>
  <c r="J958" i="4"/>
  <c r="H960" i="4" l="1"/>
  <c r="I959" i="4"/>
  <c r="I960" i="4" s="1"/>
  <c r="J959" i="4" l="1"/>
  <c r="H961" i="4"/>
  <c r="J960" i="4"/>
  <c r="H962" i="4" l="1"/>
  <c r="I961" i="4"/>
  <c r="I962" i="4" s="1"/>
  <c r="J961" i="4" l="1"/>
  <c r="H963" i="4"/>
  <c r="J962" i="4"/>
  <c r="H964" i="4" l="1"/>
  <c r="I963" i="4"/>
  <c r="I964" i="4" s="1"/>
  <c r="J963" i="4" l="1"/>
  <c r="H965" i="4"/>
  <c r="J964" i="4"/>
  <c r="H966" i="4" l="1"/>
  <c r="I965" i="4"/>
  <c r="I966" i="4" s="1"/>
  <c r="J965" i="4" l="1"/>
  <c r="H967" i="4"/>
  <c r="J966" i="4"/>
  <c r="H968" i="4" l="1"/>
  <c r="I967" i="4"/>
  <c r="I968" i="4" s="1"/>
  <c r="J967" i="4" l="1"/>
  <c r="H969" i="4"/>
  <c r="J968" i="4"/>
  <c r="H970" i="4" l="1"/>
  <c r="I969" i="4"/>
  <c r="I970" i="4" s="1"/>
  <c r="J969" i="4" l="1"/>
  <c r="H971" i="4"/>
  <c r="J970" i="4"/>
  <c r="H972" i="4" l="1"/>
  <c r="I971" i="4"/>
  <c r="I972" i="4" s="1"/>
  <c r="J971" i="4" l="1"/>
  <c r="H973" i="4"/>
  <c r="J972" i="4"/>
  <c r="H974" i="4" l="1"/>
  <c r="I973" i="4"/>
  <c r="I974" i="4" s="1"/>
  <c r="J973" i="4" l="1"/>
  <c r="H975" i="4"/>
  <c r="J974" i="4"/>
  <c r="H976" i="4" l="1"/>
  <c r="I975" i="4"/>
  <c r="I976" i="4" s="1"/>
  <c r="J975" i="4" l="1"/>
  <c r="H977" i="4"/>
  <c r="J976" i="4"/>
  <c r="H978" i="4" l="1"/>
  <c r="I977" i="4"/>
  <c r="I978" i="4" s="1"/>
  <c r="J977" i="4" l="1"/>
  <c r="H979" i="4"/>
  <c r="J978" i="4"/>
  <c r="H980" i="4" l="1"/>
  <c r="I979" i="4"/>
  <c r="I980" i="4" s="1"/>
  <c r="J979" i="4" l="1"/>
  <c r="H981" i="4"/>
  <c r="J980" i="4"/>
  <c r="H982" i="4" l="1"/>
  <c r="I981" i="4"/>
  <c r="I982" i="4" s="1"/>
  <c r="J981" i="4" l="1"/>
  <c r="H983" i="4"/>
  <c r="J982" i="4"/>
  <c r="H984" i="4" l="1"/>
  <c r="I983" i="4"/>
  <c r="I984" i="4" s="1"/>
  <c r="J983" i="4" l="1"/>
  <c r="H985" i="4"/>
  <c r="J984" i="4"/>
  <c r="H986" i="4" l="1"/>
  <c r="I985" i="4"/>
  <c r="I986" i="4" s="1"/>
  <c r="J985" i="4" l="1"/>
  <c r="H987" i="4"/>
  <c r="J986" i="4"/>
  <c r="H988" i="4" l="1"/>
  <c r="I987" i="4"/>
  <c r="I988" i="4" s="1"/>
  <c r="J987" i="4" l="1"/>
  <c r="H989" i="4"/>
  <c r="J988" i="4"/>
  <c r="H990" i="4" l="1"/>
  <c r="I989" i="4"/>
  <c r="I990" i="4" s="1"/>
  <c r="J989" i="4" l="1"/>
  <c r="H991" i="4"/>
  <c r="J990" i="4"/>
  <c r="H992" i="4" l="1"/>
  <c r="I991" i="4"/>
  <c r="I992" i="4" s="1"/>
  <c r="J991" i="4" l="1"/>
  <c r="H993" i="4"/>
  <c r="J992" i="4"/>
  <c r="H994" i="4" l="1"/>
  <c r="I993" i="4"/>
  <c r="I994" i="4" s="1"/>
  <c r="J993" i="4" l="1"/>
  <c r="H995" i="4"/>
  <c r="J994" i="4"/>
  <c r="H996" i="4" l="1"/>
  <c r="I995" i="4"/>
  <c r="I996" i="4" s="1"/>
  <c r="J995" i="4" l="1"/>
  <c r="H997" i="4"/>
  <c r="J996" i="4"/>
  <c r="H998" i="4" l="1"/>
  <c r="I997" i="4"/>
  <c r="I998" i="4" s="1"/>
  <c r="J997" i="4" l="1"/>
  <c r="H999" i="4"/>
  <c r="J998" i="4"/>
  <c r="H1000" i="4" l="1"/>
  <c r="I999" i="4"/>
  <c r="I1000" i="4" s="1"/>
  <c r="J999" i="4" l="1"/>
  <c r="H1001" i="4"/>
  <c r="J1000" i="4"/>
  <c r="H1002" i="4" l="1"/>
  <c r="I1001" i="4"/>
  <c r="I1002" i="4" s="1"/>
  <c r="J1001" i="4" l="1"/>
  <c r="H1003" i="4"/>
  <c r="J1002" i="4"/>
  <c r="H1004" i="4" l="1"/>
  <c r="I1003" i="4"/>
  <c r="I1004" i="4" s="1"/>
  <c r="J1003" i="4" l="1"/>
  <c r="H1005" i="4"/>
  <c r="J1004" i="4"/>
  <c r="H1006" i="4" l="1"/>
  <c r="I1005" i="4"/>
  <c r="I1006" i="4" s="1"/>
  <c r="J1005" i="4" l="1"/>
  <c r="H1007" i="4"/>
  <c r="J1006" i="4"/>
  <c r="H1008" i="4" l="1"/>
  <c r="I1007" i="4"/>
  <c r="I1008" i="4" s="1"/>
  <c r="J1007" i="4" l="1"/>
  <c r="H1009" i="4"/>
  <c r="J1008" i="4"/>
  <c r="H1010" i="4" l="1"/>
  <c r="I1009" i="4"/>
  <c r="I1010" i="4" s="1"/>
  <c r="J1009" i="4" l="1"/>
  <c r="H1011" i="4"/>
  <c r="J1010" i="4"/>
  <c r="H1012" i="4" l="1"/>
  <c r="I1011" i="4"/>
  <c r="I1012" i="4" s="1"/>
  <c r="J1011" i="4" l="1"/>
  <c r="H1013" i="4"/>
  <c r="J1012" i="4"/>
  <c r="H1014" i="4" l="1"/>
  <c r="I1013" i="4"/>
  <c r="I1014" i="4" s="1"/>
  <c r="J1013" i="4" l="1"/>
  <c r="H1015" i="4"/>
  <c r="J1014" i="4"/>
  <c r="H1016" i="4" l="1"/>
  <c r="I1015" i="4"/>
  <c r="I1016" i="4" s="1"/>
  <c r="J1015" i="4" l="1"/>
  <c r="H1017" i="4"/>
  <c r="J1016" i="4"/>
  <c r="H1018" i="4" l="1"/>
  <c r="I1017" i="4"/>
  <c r="I1018" i="4" s="1"/>
  <c r="J1017" i="4" l="1"/>
  <c r="H1019" i="4"/>
  <c r="J1018" i="4"/>
  <c r="H1020" i="4" l="1"/>
  <c r="I1019" i="4"/>
  <c r="I1020" i="4" s="1"/>
  <c r="J1019" i="4" l="1"/>
  <c r="H1021" i="4"/>
  <c r="J1020" i="4"/>
  <c r="H1022" i="4" l="1"/>
  <c r="I1021" i="4"/>
  <c r="I1022" i="4" s="1"/>
  <c r="J1021" i="4" l="1"/>
  <c r="H1023" i="4"/>
  <c r="J1022" i="4"/>
  <c r="H1024" i="4" l="1"/>
  <c r="I1023" i="4"/>
  <c r="I1024" i="4" s="1"/>
  <c r="J1023" i="4" l="1"/>
  <c r="H1025" i="4"/>
  <c r="J1024" i="4"/>
  <c r="H1026" i="4" l="1"/>
  <c r="I1025" i="4"/>
  <c r="I1026" i="4" s="1"/>
  <c r="J1025" i="4" l="1"/>
  <c r="H1027" i="4"/>
  <c r="J1026" i="4"/>
  <c r="H1028" i="4" l="1"/>
  <c r="I1027" i="4"/>
  <c r="I1028" i="4" s="1"/>
  <c r="J1027" i="4" l="1"/>
  <c r="H1029" i="4"/>
  <c r="J1028" i="4"/>
  <c r="H1030" i="4" l="1"/>
  <c r="I1029" i="4"/>
  <c r="I1030" i="4" s="1"/>
  <c r="J1029" i="4" l="1"/>
  <c r="H1031" i="4"/>
  <c r="J1030" i="4"/>
  <c r="H1032" i="4" l="1"/>
  <c r="I1031" i="4"/>
  <c r="I1032" i="4" s="1"/>
  <c r="J1031" i="4" l="1"/>
  <c r="H1033" i="4"/>
  <c r="J1032" i="4"/>
  <c r="H1034" i="4" l="1"/>
  <c r="I1033" i="4"/>
  <c r="I1034" i="4" s="1"/>
  <c r="J1033" i="4" l="1"/>
  <c r="H1035" i="4"/>
  <c r="J1034" i="4"/>
  <c r="H1036" i="4" l="1"/>
  <c r="I1035" i="4"/>
  <c r="I1036" i="4" s="1"/>
  <c r="J1035" i="4" l="1"/>
  <c r="H1037" i="4"/>
  <c r="J1036" i="4"/>
  <c r="H1038" i="4" l="1"/>
  <c r="I1037" i="4"/>
  <c r="I1038" i="4" s="1"/>
  <c r="J1037" i="4" l="1"/>
  <c r="H1039" i="4"/>
  <c r="J1038" i="4"/>
  <c r="H1040" i="4" l="1"/>
  <c r="I1039" i="4"/>
  <c r="I1040" i="4" s="1"/>
  <c r="J1039" i="4" l="1"/>
  <c r="H1041" i="4"/>
  <c r="J1040" i="4"/>
  <c r="H1042" i="4" l="1"/>
  <c r="I1041" i="4"/>
  <c r="I1042" i="4" s="1"/>
  <c r="J1041" i="4" l="1"/>
  <c r="H1043" i="4"/>
  <c r="J1042" i="4"/>
  <c r="H1044" i="4" l="1"/>
  <c r="I1043" i="4"/>
  <c r="I1044" i="4" s="1"/>
  <c r="J1043" i="4" l="1"/>
  <c r="H1045" i="4"/>
  <c r="J1044" i="4"/>
  <c r="H1046" i="4" l="1"/>
  <c r="I1045" i="4"/>
  <c r="I1046" i="4" s="1"/>
  <c r="J1045" i="4" l="1"/>
  <c r="H1047" i="4"/>
  <c r="J1046" i="4"/>
  <c r="H1048" i="4" l="1"/>
  <c r="I1047" i="4"/>
  <c r="I1048" i="4" s="1"/>
  <c r="J1047" i="4" l="1"/>
  <c r="H1049" i="4"/>
  <c r="J1048" i="4"/>
  <c r="H1050" i="4" l="1"/>
  <c r="I1049" i="4"/>
  <c r="I1050" i="4" s="1"/>
  <c r="J1049" i="4" l="1"/>
  <c r="H1051" i="4"/>
  <c r="J1050" i="4"/>
  <c r="H1052" i="4" l="1"/>
  <c r="I1051" i="4"/>
  <c r="I1052" i="4" s="1"/>
  <c r="J1051" i="4" l="1"/>
  <c r="H1053" i="4"/>
  <c r="J1052" i="4"/>
  <c r="H1054" i="4" l="1"/>
  <c r="I1053" i="4"/>
  <c r="I1054" i="4" s="1"/>
  <c r="J1053" i="4" l="1"/>
  <c r="H1055" i="4"/>
  <c r="J1054" i="4"/>
  <c r="H1056" i="4" l="1"/>
  <c r="I1055" i="4"/>
  <c r="I1056" i="4" s="1"/>
  <c r="J1055" i="4" l="1"/>
  <c r="H1057" i="4"/>
  <c r="J1056" i="4"/>
  <c r="H1058" i="4" l="1"/>
  <c r="I1057" i="4"/>
  <c r="I1058" i="4" s="1"/>
  <c r="J1057" i="4" l="1"/>
  <c r="H1059" i="4"/>
  <c r="J1058" i="4"/>
  <c r="H1060" i="4" l="1"/>
  <c r="I1059" i="4"/>
  <c r="I1060" i="4" s="1"/>
  <c r="J1059" i="4" l="1"/>
  <c r="H1061" i="4"/>
  <c r="J1060" i="4"/>
  <c r="H1062" i="4" l="1"/>
  <c r="I1061" i="4"/>
  <c r="I1062" i="4" s="1"/>
  <c r="J1061" i="4" l="1"/>
  <c r="H1063" i="4"/>
  <c r="J1062" i="4"/>
  <c r="H1064" i="4" l="1"/>
  <c r="I1063" i="4"/>
  <c r="I1064" i="4" s="1"/>
  <c r="J1063" i="4" l="1"/>
  <c r="H1065" i="4"/>
  <c r="J1064" i="4"/>
  <c r="H1066" i="4" l="1"/>
  <c r="I1065" i="4"/>
  <c r="I1066" i="4" s="1"/>
  <c r="J1065" i="4" l="1"/>
  <c r="H1067" i="4"/>
  <c r="J1066" i="4"/>
  <c r="H1068" i="4" l="1"/>
  <c r="I1067" i="4"/>
  <c r="I1068" i="4" s="1"/>
  <c r="J1067" i="4" l="1"/>
  <c r="H1069" i="4"/>
  <c r="J1068" i="4"/>
  <c r="H1070" i="4" l="1"/>
  <c r="I1069" i="4"/>
  <c r="I1070" i="4" s="1"/>
  <c r="J1069" i="4" l="1"/>
  <c r="H1071" i="4"/>
  <c r="J1070" i="4"/>
  <c r="H1072" i="4" l="1"/>
  <c r="I1071" i="4"/>
  <c r="I1072" i="4" s="1"/>
  <c r="J1071" i="4" l="1"/>
  <c r="H1073" i="4"/>
  <c r="J1072" i="4"/>
  <c r="H1074" i="4" l="1"/>
  <c r="I1073" i="4"/>
  <c r="I1074" i="4" s="1"/>
  <c r="J1073" i="4" l="1"/>
  <c r="H1075" i="4"/>
  <c r="J1074" i="4"/>
  <c r="H1076" i="4" l="1"/>
  <c r="I1075" i="4"/>
  <c r="I1076" i="4" s="1"/>
  <c r="J1075" i="4" l="1"/>
  <c r="H1077" i="4"/>
  <c r="J1076" i="4"/>
  <c r="H1078" i="4" l="1"/>
  <c r="I1077" i="4"/>
  <c r="I1078" i="4" s="1"/>
  <c r="J1077" i="4" l="1"/>
  <c r="H1079" i="4"/>
  <c r="J1078" i="4"/>
  <c r="H1080" i="4" l="1"/>
  <c r="I1079" i="4"/>
  <c r="I1080" i="4" s="1"/>
  <c r="J1079" i="4" l="1"/>
  <c r="H1081" i="4"/>
  <c r="J1080" i="4"/>
  <c r="H1082" i="4" l="1"/>
  <c r="I1081" i="4"/>
  <c r="I1082" i="4" s="1"/>
  <c r="J1081" i="4" l="1"/>
  <c r="H1083" i="4"/>
  <c r="J1082" i="4"/>
  <c r="H1084" i="4" l="1"/>
  <c r="I1083" i="4"/>
  <c r="I1084" i="4" s="1"/>
  <c r="J1083" i="4" l="1"/>
  <c r="H1085" i="4"/>
  <c r="J1084" i="4"/>
  <c r="H1086" i="4" l="1"/>
  <c r="I1085" i="4"/>
  <c r="I1086" i="4" s="1"/>
  <c r="J1085" i="4" l="1"/>
  <c r="H1087" i="4"/>
  <c r="J1086" i="4"/>
  <c r="H1088" i="4" l="1"/>
  <c r="I1087" i="4"/>
  <c r="I1088" i="4" s="1"/>
  <c r="J1087" i="4" l="1"/>
  <c r="H1089" i="4"/>
  <c r="J1088" i="4"/>
  <c r="H1090" i="4" l="1"/>
  <c r="I1089" i="4"/>
  <c r="I1090" i="4" s="1"/>
  <c r="J1089" i="4" l="1"/>
  <c r="H1091" i="4"/>
  <c r="J1090" i="4"/>
  <c r="H1092" i="4" l="1"/>
  <c r="I1091" i="4"/>
  <c r="I1092" i="4" s="1"/>
  <c r="J1091" i="4" l="1"/>
  <c r="H1093" i="4"/>
  <c r="J1092" i="4"/>
  <c r="H1094" i="4" l="1"/>
  <c r="I1093" i="4"/>
  <c r="I1094" i="4" s="1"/>
  <c r="J1093" i="4" l="1"/>
  <c r="H1095" i="4"/>
  <c r="J1094" i="4"/>
  <c r="H1096" i="4" l="1"/>
  <c r="I1095" i="4"/>
  <c r="I1096" i="4" s="1"/>
  <c r="J1095" i="4" l="1"/>
  <c r="H1097" i="4"/>
  <c r="J1096" i="4"/>
  <c r="H1098" i="4" l="1"/>
  <c r="I1097" i="4"/>
  <c r="I1098" i="4" s="1"/>
  <c r="J1097" i="4" l="1"/>
  <c r="H1099" i="4"/>
  <c r="J1098" i="4"/>
  <c r="H1100" i="4" l="1"/>
  <c r="I1099" i="4"/>
  <c r="I1100" i="4" s="1"/>
  <c r="J1099" i="4" l="1"/>
  <c r="H1101" i="4"/>
  <c r="J1100" i="4"/>
  <c r="H1102" i="4" l="1"/>
  <c r="I1101" i="4"/>
  <c r="I1102" i="4" s="1"/>
  <c r="J1101" i="4" l="1"/>
  <c r="H1103" i="4"/>
  <c r="J1102" i="4"/>
  <c r="H1104" i="4" l="1"/>
  <c r="I1103" i="4"/>
  <c r="I1104" i="4" s="1"/>
  <c r="J1103" i="4" l="1"/>
  <c r="H1105" i="4"/>
  <c r="J1104" i="4"/>
  <c r="H1106" i="4" l="1"/>
  <c r="I1105" i="4"/>
  <c r="I1106" i="4" s="1"/>
  <c r="J1105" i="4" l="1"/>
  <c r="H1107" i="4"/>
  <c r="J1106" i="4"/>
  <c r="H1108" i="4" l="1"/>
  <c r="I1107" i="4"/>
  <c r="I1108" i="4" s="1"/>
  <c r="J1107" i="4" l="1"/>
  <c r="H1109" i="4"/>
  <c r="J1108" i="4"/>
  <c r="H1110" i="4" l="1"/>
  <c r="I1109" i="4"/>
  <c r="I1110" i="4" s="1"/>
  <c r="J1109" i="4" l="1"/>
  <c r="H1111" i="4"/>
  <c r="J1110" i="4"/>
  <c r="H1112" i="4" l="1"/>
  <c r="I1111" i="4"/>
  <c r="I1112" i="4" s="1"/>
  <c r="J1111" i="4" l="1"/>
  <c r="H1113" i="4"/>
  <c r="J1112" i="4"/>
  <c r="H1114" i="4" l="1"/>
  <c r="I1113" i="4"/>
  <c r="I1114" i="4" s="1"/>
  <c r="J1113" i="4" l="1"/>
  <c r="H1115" i="4"/>
  <c r="J1114" i="4"/>
  <c r="H1116" i="4" l="1"/>
  <c r="I1115" i="4"/>
  <c r="I1116" i="4" s="1"/>
  <c r="J1115" i="4" l="1"/>
  <c r="H1117" i="4"/>
  <c r="J1116" i="4"/>
  <c r="H1118" i="4" l="1"/>
  <c r="I1117" i="4"/>
  <c r="I1118" i="4" l="1"/>
  <c r="J1117" i="4"/>
  <c r="H1119" i="4"/>
  <c r="J1118" i="4"/>
  <c r="H1120" i="4" l="1"/>
  <c r="I1119" i="4"/>
  <c r="I1120" i="4" s="1"/>
  <c r="J1119" i="4" l="1"/>
  <c r="H1121" i="4"/>
  <c r="J1120" i="4"/>
  <c r="H1122" i="4" l="1"/>
  <c r="I1121" i="4"/>
  <c r="I1122" i="4" s="1"/>
  <c r="J1121" i="4" l="1"/>
  <c r="H1123" i="4"/>
  <c r="J1122" i="4"/>
  <c r="H1124" i="4" l="1"/>
  <c r="I1123" i="4"/>
  <c r="I1124" i="4" s="1"/>
  <c r="J1123" i="4" l="1"/>
  <c r="H1125" i="4"/>
  <c r="J1124" i="4"/>
  <c r="H1126" i="4" l="1"/>
  <c r="I1125" i="4"/>
  <c r="I1126" i="4" s="1"/>
  <c r="J1125" i="4" l="1"/>
  <c r="H1127" i="4"/>
  <c r="J1126" i="4"/>
  <c r="H1128" i="4" l="1"/>
  <c r="I1127" i="4"/>
  <c r="I1128" i="4" s="1"/>
  <c r="J1127" i="4" l="1"/>
  <c r="H1129" i="4"/>
  <c r="J1128" i="4"/>
  <c r="H1130" i="4" l="1"/>
  <c r="I1129" i="4"/>
  <c r="I1130" i="4" s="1"/>
  <c r="J1129" i="4" l="1"/>
  <c r="H1131" i="4"/>
  <c r="J1130" i="4"/>
  <c r="H1132" i="4" l="1"/>
  <c r="I1131" i="4"/>
  <c r="I1132" i="4" s="1"/>
  <c r="J1131" i="4" l="1"/>
  <c r="H1133" i="4"/>
  <c r="J1132" i="4"/>
  <c r="H1134" i="4" l="1"/>
  <c r="I1133" i="4"/>
  <c r="I1134" i="4" s="1"/>
  <c r="J1133" i="4" l="1"/>
  <c r="H1135" i="4"/>
  <c r="J1134" i="4"/>
  <c r="H1136" i="4" l="1"/>
  <c r="I1135" i="4"/>
  <c r="I1136" i="4" s="1"/>
  <c r="J1135" i="4" l="1"/>
  <c r="H1137" i="4"/>
  <c r="J1136" i="4"/>
  <c r="H1138" i="4" l="1"/>
  <c r="I1137" i="4"/>
  <c r="I1138" i="4" s="1"/>
  <c r="J1137" i="4" l="1"/>
  <c r="H1139" i="4"/>
  <c r="J1138" i="4"/>
  <c r="H1140" i="4" l="1"/>
  <c r="I1139" i="4"/>
  <c r="I1140" i="4" s="1"/>
  <c r="J1139" i="4" l="1"/>
  <c r="H1141" i="4"/>
  <c r="J1140" i="4"/>
  <c r="H1142" i="4" l="1"/>
  <c r="I1141" i="4"/>
  <c r="I1142" i="4" s="1"/>
  <c r="J1141" i="4" l="1"/>
  <c r="H1143" i="4"/>
  <c r="J1142" i="4"/>
  <c r="H1144" i="4" l="1"/>
  <c r="I1143" i="4"/>
  <c r="I1144" i="4" s="1"/>
  <c r="J1143" i="4" l="1"/>
  <c r="H1145" i="4"/>
  <c r="J1144" i="4"/>
  <c r="H1146" i="4" l="1"/>
  <c r="I1145" i="4"/>
  <c r="I1146" i="4" s="1"/>
  <c r="J1145" i="4" l="1"/>
  <c r="H1147" i="4"/>
  <c r="J1146" i="4"/>
  <c r="H1148" i="4" l="1"/>
  <c r="I1147" i="4"/>
  <c r="I1148" i="4" s="1"/>
  <c r="J1147" i="4" l="1"/>
  <c r="H1149" i="4"/>
  <c r="J1148" i="4"/>
  <c r="H1150" i="4" l="1"/>
  <c r="I1149" i="4"/>
  <c r="I1150" i="4" s="1"/>
  <c r="J1149" i="4" l="1"/>
  <c r="H1151" i="4"/>
  <c r="J1150" i="4"/>
  <c r="H1152" i="4" l="1"/>
  <c r="I1151" i="4"/>
  <c r="I1152" i="4" s="1"/>
  <c r="J1151" i="4" l="1"/>
  <c r="H1153" i="4"/>
  <c r="J1152" i="4"/>
  <c r="H1154" i="4" l="1"/>
  <c r="I1153" i="4"/>
  <c r="I1154" i="4" s="1"/>
  <c r="J1153" i="4" l="1"/>
  <c r="H1155" i="4"/>
  <c r="J1154" i="4"/>
  <c r="H1156" i="4" l="1"/>
  <c r="I1155" i="4"/>
  <c r="I1156" i="4" s="1"/>
  <c r="J1155" i="4" l="1"/>
  <c r="H1157" i="4"/>
  <c r="J1156" i="4"/>
  <c r="H1158" i="4" l="1"/>
  <c r="I1157" i="4"/>
  <c r="I1158" i="4" s="1"/>
  <c r="J1157" i="4" l="1"/>
  <c r="H1159" i="4"/>
  <c r="J1158" i="4"/>
  <c r="H1160" i="4" l="1"/>
  <c r="I1159" i="4"/>
  <c r="I1160" i="4" s="1"/>
  <c r="J1159" i="4" l="1"/>
  <c r="H1161" i="4"/>
  <c r="J1160" i="4"/>
  <c r="H1162" i="4" l="1"/>
  <c r="I1161" i="4"/>
  <c r="I1162" i="4" s="1"/>
  <c r="J1161" i="4" l="1"/>
  <c r="H1163" i="4"/>
  <c r="J1162" i="4"/>
  <c r="H1164" i="4" l="1"/>
  <c r="I1163" i="4"/>
  <c r="I1164" i="4" s="1"/>
  <c r="J1163" i="4" l="1"/>
  <c r="H1165" i="4"/>
  <c r="J1164" i="4"/>
  <c r="H1166" i="4" l="1"/>
  <c r="I1165" i="4"/>
  <c r="I1166" i="4" s="1"/>
  <c r="J1165" i="4" l="1"/>
  <c r="H1167" i="4"/>
  <c r="J1166" i="4"/>
  <c r="H1168" i="4" l="1"/>
  <c r="I1167" i="4"/>
  <c r="I1168" i="4" s="1"/>
  <c r="J1167" i="4" l="1"/>
  <c r="H1169" i="4"/>
  <c r="J1168" i="4"/>
  <c r="H1170" i="4" l="1"/>
  <c r="I1169" i="4"/>
  <c r="I1170" i="4" s="1"/>
  <c r="J1169" i="4" l="1"/>
  <c r="H1171" i="4"/>
  <c r="J1170" i="4"/>
  <c r="H1172" i="4" l="1"/>
  <c r="I1171" i="4"/>
  <c r="I1172" i="4" s="1"/>
  <c r="J1171" i="4" l="1"/>
  <c r="H1173" i="4"/>
  <c r="J1172" i="4"/>
  <c r="H1174" i="4" l="1"/>
  <c r="I1173" i="4"/>
  <c r="I1174" i="4" s="1"/>
  <c r="J1173" i="4" l="1"/>
  <c r="H1175" i="4"/>
  <c r="J1174" i="4"/>
  <c r="H1176" i="4" l="1"/>
  <c r="I1175" i="4"/>
  <c r="I1176" i="4" s="1"/>
  <c r="J1175" i="4" l="1"/>
  <c r="H1177" i="4"/>
  <c r="J1176" i="4"/>
  <c r="H1178" i="4" l="1"/>
  <c r="I1177" i="4"/>
  <c r="I1178" i="4" s="1"/>
  <c r="J1177" i="4" l="1"/>
  <c r="H1179" i="4"/>
  <c r="J1178" i="4"/>
  <c r="H1180" i="4" l="1"/>
  <c r="I1179" i="4"/>
  <c r="I1180" i="4" s="1"/>
  <c r="J1179" i="4" l="1"/>
  <c r="H1181" i="4"/>
  <c r="J1180" i="4"/>
  <c r="H1182" i="4" l="1"/>
  <c r="I1181" i="4"/>
  <c r="I1182" i="4" s="1"/>
  <c r="J1181" i="4" l="1"/>
  <c r="H1183" i="4"/>
  <c r="J1182" i="4"/>
  <c r="H1184" i="4" l="1"/>
  <c r="I1183" i="4"/>
  <c r="I1184" i="4" s="1"/>
  <c r="J1183" i="4" l="1"/>
  <c r="H1185" i="4"/>
  <c r="J1184" i="4"/>
  <c r="H1186" i="4" l="1"/>
  <c r="I1185" i="4"/>
  <c r="I1186" i="4" s="1"/>
  <c r="J1185" i="4" l="1"/>
  <c r="H1187" i="4"/>
  <c r="J1186" i="4"/>
  <c r="H1188" i="4" l="1"/>
  <c r="I1187" i="4"/>
  <c r="I1188" i="4" s="1"/>
  <c r="J1187" i="4" l="1"/>
  <c r="H1189" i="4"/>
  <c r="J1188" i="4"/>
  <c r="H1190" i="4" l="1"/>
  <c r="I1189" i="4"/>
  <c r="I1190" i="4" s="1"/>
  <c r="J1189" i="4" l="1"/>
  <c r="H1191" i="4"/>
  <c r="J1190" i="4"/>
  <c r="H1192" i="4" l="1"/>
  <c r="I1191" i="4"/>
  <c r="I1192" i="4" s="1"/>
  <c r="J1191" i="4" l="1"/>
  <c r="H1193" i="4"/>
  <c r="J1192" i="4"/>
  <c r="H1194" i="4" l="1"/>
  <c r="I1193" i="4"/>
  <c r="I1194" i="4" s="1"/>
  <c r="J1193" i="4" l="1"/>
  <c r="H1195" i="4"/>
  <c r="J1194" i="4"/>
  <c r="H1196" i="4" l="1"/>
  <c r="I1195" i="4"/>
  <c r="I1196" i="4" s="1"/>
  <c r="J1195" i="4" l="1"/>
  <c r="H1197" i="4"/>
  <c r="J1196" i="4"/>
  <c r="H1198" i="4" l="1"/>
  <c r="I1197" i="4"/>
  <c r="I1198" i="4" s="1"/>
  <c r="J1197" i="4" l="1"/>
  <c r="H1199" i="4"/>
  <c r="J1198" i="4"/>
  <c r="H1200" i="4" l="1"/>
  <c r="I1199" i="4"/>
  <c r="I1200" i="4" s="1"/>
  <c r="J1199" i="4" l="1"/>
  <c r="H1201" i="4"/>
  <c r="J1200" i="4"/>
  <c r="H1202" i="4" l="1"/>
  <c r="I1201" i="4"/>
  <c r="I1202" i="4" s="1"/>
  <c r="J1201" i="4" l="1"/>
  <c r="H1203" i="4"/>
  <c r="J1202" i="4"/>
  <c r="H1204" i="4" l="1"/>
  <c r="I1203" i="4"/>
  <c r="I1204" i="4" s="1"/>
  <c r="J1203" i="4" l="1"/>
  <c r="H1205" i="4"/>
  <c r="J1204" i="4"/>
  <c r="H1206" i="4" l="1"/>
  <c r="I1205" i="4"/>
  <c r="I1206" i="4" s="1"/>
  <c r="J1205" i="4" l="1"/>
  <c r="H1207" i="4"/>
  <c r="J1206" i="4"/>
  <c r="H1208" i="4" l="1"/>
  <c r="I1207" i="4"/>
  <c r="I1208" i="4" s="1"/>
  <c r="J1207" i="4" l="1"/>
  <c r="H1209" i="4"/>
  <c r="J1208" i="4"/>
  <c r="H1210" i="4" l="1"/>
  <c r="I1209" i="4"/>
  <c r="I1210" i="4" s="1"/>
  <c r="J1209" i="4" l="1"/>
  <c r="H1211" i="4"/>
  <c r="J1210" i="4"/>
  <c r="H1212" i="4" l="1"/>
  <c r="I1211" i="4"/>
  <c r="I1212" i="4" s="1"/>
  <c r="J1211" i="4" l="1"/>
  <c r="H1213" i="4"/>
  <c r="J1212" i="4"/>
  <c r="H1214" i="4" l="1"/>
  <c r="I1213" i="4"/>
  <c r="I1214" i="4" s="1"/>
  <c r="J1213" i="4" l="1"/>
  <c r="H1215" i="4"/>
  <c r="J1214" i="4"/>
  <c r="H1216" i="4" l="1"/>
  <c r="I1215" i="4"/>
  <c r="I1216" i="4" s="1"/>
  <c r="J1215" i="4" l="1"/>
  <c r="H1217" i="4"/>
  <c r="J1216" i="4"/>
  <c r="H1218" i="4" l="1"/>
  <c r="I1217" i="4"/>
  <c r="I1218" i="4" s="1"/>
  <c r="J1217" i="4" l="1"/>
  <c r="H1219" i="4"/>
  <c r="J1218" i="4"/>
  <c r="H1220" i="4" l="1"/>
  <c r="I1219" i="4"/>
  <c r="I1220" i="4" s="1"/>
  <c r="J1219" i="4" l="1"/>
  <c r="H1221" i="4"/>
  <c r="J1220" i="4"/>
  <c r="H1222" i="4" l="1"/>
  <c r="I1221" i="4"/>
  <c r="I1222" i="4" s="1"/>
  <c r="J1221" i="4" l="1"/>
  <c r="H1223" i="4"/>
  <c r="J1222" i="4"/>
  <c r="H1224" i="4" l="1"/>
  <c r="I1223" i="4"/>
  <c r="I1224" i="4" s="1"/>
  <c r="J1223" i="4" l="1"/>
  <c r="H1225" i="4"/>
  <c r="J1224" i="4"/>
  <c r="H1226" i="4" l="1"/>
  <c r="I1225" i="4"/>
  <c r="I1226" i="4" s="1"/>
  <c r="J1225" i="4" l="1"/>
  <c r="H1227" i="4"/>
  <c r="J1226" i="4"/>
  <c r="H1228" i="4" l="1"/>
  <c r="I1227" i="4"/>
  <c r="I1228" i="4" s="1"/>
  <c r="J1227" i="4" l="1"/>
  <c r="H1229" i="4"/>
  <c r="J1228" i="4"/>
  <c r="H1230" i="4" l="1"/>
  <c r="I1229" i="4"/>
  <c r="I1230" i="4" s="1"/>
  <c r="J1229" i="4" l="1"/>
  <c r="H1231" i="4"/>
  <c r="J1230" i="4"/>
  <c r="H1232" i="4" l="1"/>
  <c r="I1231" i="4"/>
  <c r="I1232" i="4" s="1"/>
  <c r="J1231" i="4" l="1"/>
  <c r="H1233" i="4"/>
  <c r="J1232" i="4"/>
  <c r="H1234" i="4" l="1"/>
  <c r="I1233" i="4"/>
  <c r="I1234" i="4" s="1"/>
  <c r="J1233" i="4" l="1"/>
  <c r="H1235" i="4"/>
  <c r="J1234" i="4"/>
  <c r="H1236" i="4" l="1"/>
  <c r="I1235" i="4"/>
  <c r="I1236" i="4" s="1"/>
  <c r="J1235" i="4" l="1"/>
  <c r="H1237" i="4"/>
  <c r="J1236" i="4"/>
  <c r="H1238" i="4" l="1"/>
  <c r="I1237" i="4"/>
  <c r="I1238" i="4" s="1"/>
  <c r="J1237" i="4" l="1"/>
  <c r="H1239" i="4"/>
  <c r="J1238" i="4"/>
  <c r="H1240" i="4" l="1"/>
  <c r="I1239" i="4"/>
  <c r="I1240" i="4" s="1"/>
  <c r="J1239" i="4" l="1"/>
  <c r="H1241" i="4"/>
  <c r="J1240" i="4"/>
  <c r="H1242" i="4" l="1"/>
  <c r="I1241" i="4"/>
  <c r="I1242" i="4" s="1"/>
  <c r="J1241" i="4" l="1"/>
  <c r="H1243" i="4"/>
  <c r="J1242" i="4"/>
  <c r="H1244" i="4" l="1"/>
  <c r="I1243" i="4"/>
  <c r="I1244" i="4" s="1"/>
  <c r="J1243" i="4" l="1"/>
  <c r="H1245" i="4"/>
  <c r="J1244" i="4"/>
  <c r="H1246" i="4" l="1"/>
  <c r="I1245" i="4"/>
  <c r="I1246" i="4" s="1"/>
  <c r="J1245" i="4" l="1"/>
  <c r="H1247" i="4"/>
  <c r="J1246" i="4"/>
  <c r="H1248" i="4" l="1"/>
  <c r="I1247" i="4"/>
  <c r="I1248" i="4" s="1"/>
  <c r="J1247" i="4" l="1"/>
  <c r="H1249" i="4"/>
  <c r="J1248" i="4"/>
  <c r="H1250" i="4" l="1"/>
  <c r="I1249" i="4"/>
  <c r="I1250" i="4" s="1"/>
  <c r="J1249" i="4" l="1"/>
  <c r="H1251" i="4"/>
  <c r="J1250" i="4"/>
  <c r="H1252" i="4" l="1"/>
  <c r="I1251" i="4"/>
  <c r="I1252" i="4" s="1"/>
  <c r="J1251" i="4" l="1"/>
  <c r="H1253" i="4"/>
  <c r="J1252" i="4"/>
  <c r="H1254" i="4" l="1"/>
  <c r="I1253" i="4"/>
  <c r="I1254" i="4" s="1"/>
  <c r="J1253" i="4" l="1"/>
  <c r="H1255" i="4"/>
  <c r="J1254" i="4"/>
  <c r="H1256" i="4" l="1"/>
  <c r="I1255" i="4"/>
  <c r="I1256" i="4" s="1"/>
  <c r="J1255" i="4" l="1"/>
  <c r="C12" i="5" s="1"/>
  <c r="J1256" i="4"/>
</calcChain>
</file>

<file path=xl/sharedStrings.xml><?xml version="1.0" encoding="utf-8"?>
<sst xmlns="http://schemas.openxmlformats.org/spreadsheetml/2006/main" count="1372" uniqueCount="1313">
  <si>
    <t>Column1</t>
  </si>
  <si>
    <t>GOOGL</t>
  </si>
  <si>
    <t>MSFT</t>
  </si>
  <si>
    <t>XOM</t>
  </si>
  <si>
    <t>JPM</t>
  </si>
  <si>
    <t>UNH</t>
  </si>
  <si>
    <t xml:space="preserve">Date </t>
  </si>
  <si>
    <t xml:space="preserve">JPM </t>
  </si>
  <si>
    <t>Sep 18, 2026</t>
  </si>
  <si>
    <t>Sep 17, 2026</t>
  </si>
  <si>
    <t>Sep 16, 2026</t>
  </si>
  <si>
    <t>Sep 15, 2026</t>
  </si>
  <si>
    <t>Sep 14, 2026</t>
  </si>
  <si>
    <t>Sep 11, 2026</t>
  </si>
  <si>
    <t>Sep 10, 2026</t>
  </si>
  <si>
    <t>Sep 09, 2026</t>
  </si>
  <si>
    <t>Sep 08, 2026</t>
  </si>
  <si>
    <t>Sep 04, 2026</t>
  </si>
  <si>
    <t>Sep 03, 2026</t>
  </si>
  <si>
    <t>Sep 02, 2026</t>
  </si>
  <si>
    <t>Sep 01, 2026</t>
  </si>
  <si>
    <t>Aug 31, 2026</t>
  </si>
  <si>
    <t>Aug 28, 2026</t>
  </si>
  <si>
    <t>Aug 27, 2026</t>
  </si>
  <si>
    <t>Aug 26, 2026</t>
  </si>
  <si>
    <t>Aug 25, 2026</t>
  </si>
  <si>
    <t>Aug 24, 2026</t>
  </si>
  <si>
    <t>Aug 21, 2026</t>
  </si>
  <si>
    <t>Aug 20, 2026</t>
  </si>
  <si>
    <t>Aug 19, 2026</t>
  </si>
  <si>
    <t>Aug 18, 2026</t>
  </si>
  <si>
    <t>Aug 17, 2026</t>
  </si>
  <si>
    <t>Aug 14, 2026</t>
  </si>
  <si>
    <t>Aug 13, 2026</t>
  </si>
  <si>
    <t>Aug 12, 2026</t>
  </si>
  <si>
    <t>Aug 11, 2026</t>
  </si>
  <si>
    <t>Aug 10, 2026</t>
  </si>
  <si>
    <t>Aug 07, 2026</t>
  </si>
  <si>
    <t>Aug 06, 2026</t>
  </si>
  <si>
    <t>Aug 05, 2026</t>
  </si>
  <si>
    <t>Aug 04, 2026</t>
  </si>
  <si>
    <t>Aug 03, 2026</t>
  </si>
  <si>
    <t>Jul 31, 2026</t>
  </si>
  <si>
    <t>Jul 30, 2026</t>
  </si>
  <si>
    <t>Jul 29, 2026</t>
  </si>
  <si>
    <t>Jul 28, 2026</t>
  </si>
  <si>
    <t>Jul 27, 2026</t>
  </si>
  <si>
    <t>Jul 24, 2026</t>
  </si>
  <si>
    <t>Jul 23, 2026</t>
  </si>
  <si>
    <t>Jul 22, 2026</t>
  </si>
  <si>
    <t>Jul 21, 2026</t>
  </si>
  <si>
    <t>Jul 20, 2026</t>
  </si>
  <si>
    <t>Jul 17, 2026</t>
  </si>
  <si>
    <t>Jul 16, 2026</t>
  </si>
  <si>
    <t>Jul 15, 2026</t>
  </si>
  <si>
    <t>Jul 14, 2026</t>
  </si>
  <si>
    <t>Jul 13, 2026</t>
  </si>
  <si>
    <t>Jul 10, 2026</t>
  </si>
  <si>
    <t>Jul 09, 2026</t>
  </si>
  <si>
    <t>Jul 08, 2026</t>
  </si>
  <si>
    <t>Jul 07, 2026</t>
  </si>
  <si>
    <t>Jul 06, 2026</t>
  </si>
  <si>
    <t>Jul 02, 2026</t>
  </si>
  <si>
    <t>Jul 01, 2026</t>
  </si>
  <si>
    <t>Jun 30, 2026</t>
  </si>
  <si>
    <t>Jun 29, 2026</t>
  </si>
  <si>
    <t>Jun 26, 2026</t>
  </si>
  <si>
    <t>Jun 25, 2026</t>
  </si>
  <si>
    <t>Jun 24, 2026</t>
  </si>
  <si>
    <t>Jun 23, 2026</t>
  </si>
  <si>
    <t>Jun 22, 2026</t>
  </si>
  <si>
    <t>Jun 18, 2026</t>
  </si>
  <si>
    <t>Jun 17, 2026</t>
  </si>
  <si>
    <t>Jun 16, 2026</t>
  </si>
  <si>
    <t>Jun 15, 2026</t>
  </si>
  <si>
    <t>Jun 12, 2026</t>
  </si>
  <si>
    <t>Jun 11, 2026</t>
  </si>
  <si>
    <t>Jun 10, 2026</t>
  </si>
  <si>
    <t>Jun 09, 2026</t>
  </si>
  <si>
    <t>Jun 08, 2026</t>
  </si>
  <si>
    <t>Jun 05, 2026</t>
  </si>
  <si>
    <t>Jun 04, 2026</t>
  </si>
  <si>
    <t>Jun 03, 2026</t>
  </si>
  <si>
    <t>Jun 02, 2026</t>
  </si>
  <si>
    <t>Jun 01, 2026</t>
  </si>
  <si>
    <t>May 29, 2026</t>
  </si>
  <si>
    <t>May 28, 2026</t>
  </si>
  <si>
    <t>May 27, 2026</t>
  </si>
  <si>
    <t>May 26, 2026</t>
  </si>
  <si>
    <t>May 22, 2026</t>
  </si>
  <si>
    <t>May 21, 2026</t>
  </si>
  <si>
    <t>May 20, 2026</t>
  </si>
  <si>
    <t>May 19, 2026</t>
  </si>
  <si>
    <t>May 18, 2026</t>
  </si>
  <si>
    <t>May 15, 2026</t>
  </si>
  <si>
    <t>May 14, 2026</t>
  </si>
  <si>
    <t>May 13, 2026</t>
  </si>
  <si>
    <t>May 12, 2026</t>
  </si>
  <si>
    <t>May 11, 2026</t>
  </si>
  <si>
    <t>May 08, 2026</t>
  </si>
  <si>
    <t>May 07, 2026</t>
  </si>
  <si>
    <t>May 06, 2026</t>
  </si>
  <si>
    <t>May 05, 2026</t>
  </si>
  <si>
    <t>May 04, 2026</t>
  </si>
  <si>
    <t>May 01, 2026</t>
  </si>
  <si>
    <t>Apr 30, 2026</t>
  </si>
  <si>
    <t>Apr 29, 2026</t>
  </si>
  <si>
    <t>Apr 28, 2026</t>
  </si>
  <si>
    <t>Apr 27, 2026</t>
  </si>
  <si>
    <t>Apr 24, 2026</t>
  </si>
  <si>
    <t>Apr 23, 2026</t>
  </si>
  <si>
    <t>Apr 22, 2026</t>
  </si>
  <si>
    <t>Apr 21, 2026</t>
  </si>
  <si>
    <t>Apr 20, 2026</t>
  </si>
  <si>
    <t>Apr 17, 2026</t>
  </si>
  <si>
    <t>Apr 16, 2026</t>
  </si>
  <si>
    <t>Apr 15, 2026</t>
  </si>
  <si>
    <t>Apr 14, 2026</t>
  </si>
  <si>
    <t>Apr 13, 2026</t>
  </si>
  <si>
    <t>Apr 10, 2026</t>
  </si>
  <si>
    <t>Apr 09, 2026</t>
  </si>
  <si>
    <t>Apr 08, 2026</t>
  </si>
  <si>
    <t>Apr 07, 2026</t>
  </si>
  <si>
    <t>Apr 06, 2026</t>
  </si>
  <si>
    <t>Apr 02, 2026</t>
  </si>
  <si>
    <t>Apr 01, 2026</t>
  </si>
  <si>
    <t>Mar 31, 2026</t>
  </si>
  <si>
    <t>Mar 30, 2026</t>
  </si>
  <si>
    <t>Mar 27, 2026</t>
  </si>
  <si>
    <t>Mar 26, 2026</t>
  </si>
  <si>
    <t>Mar 25, 2026</t>
  </si>
  <si>
    <t>Mar 24, 2026</t>
  </si>
  <si>
    <t>Mar 23, 2026</t>
  </si>
  <si>
    <t>Mar 20, 2026</t>
  </si>
  <si>
    <t>Mar 19, 2026</t>
  </si>
  <si>
    <t>Mar 18, 2026</t>
  </si>
  <si>
    <t>Mar 17, 2026</t>
  </si>
  <si>
    <t>Mar 16, 2026</t>
  </si>
  <si>
    <t>Mar 13, 2026</t>
  </si>
  <si>
    <t>Mar 12, 2026</t>
  </si>
  <si>
    <t>Mar 11, 2026</t>
  </si>
  <si>
    <t>Mar 10, 2026</t>
  </si>
  <si>
    <t>Mar 09, 2026</t>
  </si>
  <si>
    <t>Mar 06, 2026</t>
  </si>
  <si>
    <t>Mar 05, 2026</t>
  </si>
  <si>
    <t>Mar 04, 2026</t>
  </si>
  <si>
    <t>Mar 03, 2026</t>
  </si>
  <si>
    <t>Mar 02, 2026</t>
  </si>
  <si>
    <t>Feb 27, 2026</t>
  </si>
  <si>
    <t>Feb 26, 2026</t>
  </si>
  <si>
    <t>Feb 25, 2026</t>
  </si>
  <si>
    <t>Feb 24, 2026</t>
  </si>
  <si>
    <t>Feb 23, 2026</t>
  </si>
  <si>
    <t>Feb 20, 2026</t>
  </si>
  <si>
    <t>Feb 19, 2026</t>
  </si>
  <si>
    <t>Feb 18, 2026</t>
  </si>
  <si>
    <t>Feb 17, 2026</t>
  </si>
  <si>
    <t>Feb 13, 2026</t>
  </si>
  <si>
    <t>Feb 12, 2026</t>
  </si>
  <si>
    <t>Feb 11, 2026</t>
  </si>
  <si>
    <t>Feb 10, 2026</t>
  </si>
  <si>
    <t>Feb 09, 2026</t>
  </si>
  <si>
    <t>Feb 06, 2026</t>
  </si>
  <si>
    <t>Feb 05, 2026</t>
  </si>
  <si>
    <t>Feb 04, 2026</t>
  </si>
  <si>
    <t>Feb 03, 2026</t>
  </si>
  <si>
    <t>Feb 02, 2026</t>
  </si>
  <si>
    <t>Jan 30, 2026</t>
  </si>
  <si>
    <t>Jan 29, 2026</t>
  </si>
  <si>
    <t>Jan 28, 2026</t>
  </si>
  <si>
    <t>Jan 27, 2026</t>
  </si>
  <si>
    <t>Jan 26, 2026</t>
  </si>
  <si>
    <t>Jan 23, 2026</t>
  </si>
  <si>
    <t>Jan 22, 2026</t>
  </si>
  <si>
    <t>Jan 21, 2026</t>
  </si>
  <si>
    <t>Jan 20, 2026</t>
  </si>
  <si>
    <t>Jan 16, 2026</t>
  </si>
  <si>
    <t>Jan 15, 2026</t>
  </si>
  <si>
    <t>Jan 14, 2026</t>
  </si>
  <si>
    <t>Jan 13, 2026</t>
  </si>
  <si>
    <t>Jan 12, 2026</t>
  </si>
  <si>
    <t>Jan 09, 2026</t>
  </si>
  <si>
    <t>Jan 08, 2026</t>
  </si>
  <si>
    <t>Jan 07, 2026</t>
  </si>
  <si>
    <t>Jan 06, 2026</t>
  </si>
  <si>
    <t>Jan 05, 2026</t>
  </si>
  <si>
    <t>Jan 02, 2026</t>
  </si>
  <si>
    <t>Dec 31, 2025</t>
  </si>
  <si>
    <t>Dec 30, 2025</t>
  </si>
  <si>
    <t>Dec 29, 2025</t>
  </si>
  <si>
    <t>Dec 26, 2025</t>
  </si>
  <si>
    <t>Dec 24, 2025</t>
  </si>
  <si>
    <t>Dec 23, 2025</t>
  </si>
  <si>
    <t>Dec 22, 2025</t>
  </si>
  <si>
    <t>Dec 19, 2025</t>
  </si>
  <si>
    <t>Dec 18, 2025</t>
  </si>
  <si>
    <t>Dec 17, 2025</t>
  </si>
  <si>
    <t>Dec 16, 2025</t>
  </si>
  <si>
    <t>Dec 15, 2025</t>
  </si>
  <si>
    <t>Dec 12, 2025</t>
  </si>
  <si>
    <t>Dec 11, 2025</t>
  </si>
  <si>
    <t>Dec 10, 2025</t>
  </si>
  <si>
    <t>Dec 09, 2025</t>
  </si>
  <si>
    <t>Dec 08, 2025</t>
  </si>
  <si>
    <t>Dec 05, 2025</t>
  </si>
  <si>
    <t>Dec 04, 2025</t>
  </si>
  <si>
    <t>Dec 03, 2025</t>
  </si>
  <si>
    <t>Dec 02, 2025</t>
  </si>
  <si>
    <t>Dec 01, 2025</t>
  </si>
  <si>
    <t>Nov 28,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</si>
  <si>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</si>
  <si>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</si>
  <si>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</si>
  <si>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</si>
  <si>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</si>
  <si>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</si>
  <si>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</si>
  <si>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</si>
  <si>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</si>
  <si>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</si>
  <si>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</si>
  <si>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</si>
  <si>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</si>
  <si>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07, 2025</t>
  </si>
  <si>
    <t>Nov 06, 2025</t>
  </si>
  <si>
    <t>Nov 05, 2025</t>
  </si>
  <si>
    <t>Nov 04, 2025</t>
  </si>
  <si>
    <t>Nov 03,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</si>
  <si>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</si>
  <si>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</si>
  <si>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</si>
  <si>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</si>
  <si>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</si>
  <si>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</si>
  <si>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</si>
  <si>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</si>
  <si>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</si>
  <si>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</si>
  <si>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</si>
  <si>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</si>
  <si>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</si>
  <si>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</si>
  <si>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</si>
  <si>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</si>
  <si>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09, 2025</t>
  </si>
  <si>
    <t>Oct 08, 2025</t>
  </si>
  <si>
    <t>Oct 07, 2025</t>
  </si>
  <si>
    <t>Oct 06, 2025</t>
  </si>
  <si>
    <t>Oct 03, 2025</t>
  </si>
  <si>
    <t>Oct 02, 2025</t>
  </si>
  <si>
    <t>Oct 01,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</si>
  <si>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</si>
  <si>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</si>
  <si>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</si>
  <si>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</si>
  <si>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</si>
  <si>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</si>
  <si>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</si>
  <si>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</si>
  <si>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</si>
  <si>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</si>
  <si>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</si>
  <si>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</si>
  <si>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</si>
  <si>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</si>
  <si>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</si>
  <si>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09, 2025</t>
  </si>
  <si>
    <t>Sep 08, 2025</t>
  </si>
  <si>
    <t>Sep 05, 2025</t>
  </si>
  <si>
    <t>Sep 04, 2025</t>
  </si>
  <si>
    <t>Sep 03, 2025</t>
  </si>
  <si>
    <t>Sep 02,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</si>
  <si>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</si>
  <si>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</si>
  <si>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</si>
  <si>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</si>
  <si>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</si>
  <si>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</si>
  <si>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</si>
  <si>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</si>
  <si>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</si>
  <si>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</si>
  <si>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</si>
  <si>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</si>
  <si>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</si>
  <si>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</si>
  <si>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</si>
  <si>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08, 2025</t>
  </si>
  <si>
    <t>Aug 07, 2025</t>
  </si>
  <si>
    <t>Aug 06, 2025</t>
  </si>
  <si>
    <t>Aug 05, 2025</t>
  </si>
  <si>
    <t>Aug 04, 2025</t>
  </si>
  <si>
    <t>Aug 01,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</si>
  <si>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</si>
  <si>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</si>
  <si>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</si>
  <si>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</si>
  <si>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</si>
  <si>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</si>
  <si>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</si>
  <si>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</si>
  <si>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</si>
  <si>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</si>
  <si>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</si>
  <si>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</si>
  <si>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</si>
  <si>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</si>
  <si>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</si>
  <si>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</si>
  <si>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09, 2025</t>
  </si>
  <si>
    <t>Jul 08, 2025</t>
  </si>
  <si>
    <t>Jul 07, 2025</t>
  </si>
  <si>
    <t>Jul 03, 2025</t>
  </si>
  <si>
    <t>Jul 02, 2025</t>
  </si>
  <si>
    <t>Jul 01,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</si>
  <si>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</si>
  <si>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</si>
  <si>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</si>
  <si>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</si>
  <si>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</si>
  <si>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</si>
  <si>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</si>
  <si>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</si>
  <si>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</si>
  <si>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</si>
  <si>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</si>
  <si>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</si>
  <si>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</si>
  <si>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</si>
  <si>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09, 2025</t>
  </si>
  <si>
    <t>Jun 06, 2025</t>
  </si>
  <si>
    <t>Jun 05, 2025</t>
  </si>
  <si>
    <t>Jun 04, 2025</t>
  </si>
  <si>
    <t>Jun 03, 2025</t>
  </si>
  <si>
    <t>Jun 02,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</si>
  <si>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</si>
  <si>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</si>
  <si>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</si>
  <si>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</si>
  <si>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</si>
  <si>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</si>
  <si>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</si>
  <si>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</si>
  <si>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</si>
  <si>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</si>
  <si>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</si>
  <si>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</si>
  <si>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</si>
  <si>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</si>
  <si>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09, 2025</t>
  </si>
  <si>
    <t>May 08, 2025</t>
  </si>
  <si>
    <t>May 07, 2025</t>
  </si>
  <si>
    <t>May 06, 2025</t>
  </si>
  <si>
    <t>May 05, 2025</t>
  </si>
  <si>
    <t>May 02, 2025</t>
  </si>
  <si>
    <t>May 01,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</si>
  <si>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</si>
  <si>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</si>
  <si>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</si>
  <si>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</si>
  <si>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</si>
  <si>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</si>
  <si>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</si>
  <si>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</si>
  <si>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</si>
  <si>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</si>
  <si>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</si>
  <si>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</si>
  <si>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</si>
  <si>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</si>
  <si>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09, 2025</t>
  </si>
  <si>
    <t>Apr 08, 2025</t>
  </si>
  <si>
    <t>Apr 07, 2025</t>
  </si>
  <si>
    <t>Apr 04, 2025</t>
  </si>
  <si>
    <t>Apr 03, 2025</t>
  </si>
  <si>
    <t>Apr 02, 2025</t>
  </si>
  <si>
    <t>Apr 01,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</si>
  <si>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</si>
  <si>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</si>
  <si>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</si>
  <si>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</si>
  <si>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</si>
  <si>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</si>
  <si>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</si>
  <si>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</si>
  <si>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</si>
  <si>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</si>
  <si>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</si>
  <si>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</si>
  <si>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</si>
  <si>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</si>
  <si>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</si>
  <si>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</si>
  <si>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07, 2025</t>
  </si>
  <si>
    <t>Mar 06, 2025</t>
  </si>
  <si>
    <t>Mar 05, 2025</t>
  </si>
  <si>
    <t>Mar 04, 2025</t>
  </si>
  <si>
    <t>Mar 03,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</si>
  <si>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</si>
  <si>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</si>
  <si>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</si>
  <si>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</si>
  <si>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</si>
  <si>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</si>
  <si>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</si>
  <si>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</si>
  <si>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</si>
  <si>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</si>
  <si>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</si>
  <si>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</si>
  <si>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</si>
  <si>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</si>
  <si>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07, 2025</t>
  </si>
  <si>
    <t>Feb 06, 2025</t>
  </si>
  <si>
    <t>Feb 05, 2025</t>
  </si>
  <si>
    <t>Feb 04, 2025</t>
  </si>
  <si>
    <t>Feb 03,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</si>
  <si>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</si>
  <si>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</si>
  <si>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</si>
  <si>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</si>
  <si>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</si>
  <si>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</si>
  <si>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</si>
  <si>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</si>
  <si>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</si>
  <si>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</si>
  <si>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</si>
  <si>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</si>
  <si>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</si>
  <si>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</si>
  <si>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</si>
  <si>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08, 2025</t>
  </si>
  <si>
    <t>Jan 07, 2025</t>
  </si>
  <si>
    <t>Jan 06, 2025</t>
  </si>
  <si>
    <t>Jan 03, 2025</t>
  </si>
  <si>
    <t>Jan 02,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</si>
  <si>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</si>
  <si>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</si>
  <si>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</si>
  <si>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</si>
  <si>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</si>
  <si>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</si>
  <si>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</si>
  <si>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</si>
  <si>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</si>
  <si>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</si>
  <si>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</si>
  <si>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</si>
  <si>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</si>
  <si>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</si>
  <si>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</si>
  <si>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09, 2024</t>
  </si>
  <si>
    <t>Dec 06, 2024</t>
  </si>
  <si>
    <t>Dec 05, 2024</t>
  </si>
  <si>
    <t>Dec 04, 2024</t>
  </si>
  <si>
    <t>Dec 03, 2024</t>
  </si>
  <si>
    <t>Dec 02,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</si>
  <si>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</si>
  <si>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</si>
  <si>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</si>
  <si>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</si>
  <si>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</si>
  <si>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</si>
  <si>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</si>
  <si>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</si>
  <si>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</si>
  <si>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</si>
  <si>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</si>
  <si>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</si>
  <si>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</si>
  <si>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</si>
  <si>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08, 2024</t>
  </si>
  <si>
    <t>Nov 07, 2024</t>
  </si>
  <si>
    <t>Nov 06, 2024</t>
  </si>
  <si>
    <t>Nov 05, 2024</t>
  </si>
  <si>
    <t>Nov 04, 2024</t>
  </si>
  <si>
    <t>Nov 01,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</si>
  <si>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</si>
  <si>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</si>
  <si>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</si>
  <si>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</si>
  <si>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</si>
  <si>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</si>
  <si>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</si>
  <si>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</si>
  <si>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</si>
  <si>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</si>
  <si>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</si>
  <si>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</si>
  <si>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</si>
  <si>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</si>
  <si>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</si>
  <si>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</si>
  <si>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09, 2024</t>
  </si>
  <si>
    <t>Oct 08, 2024</t>
  </si>
  <si>
    <t>Oct 07, 2024</t>
  </si>
  <si>
    <t>Oct 04, 2024</t>
  </si>
  <si>
    <t>Oct 03, 2024</t>
  </si>
  <si>
    <t>Oct 02, 2024</t>
  </si>
  <si>
    <t>Oct 01,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</si>
  <si>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</si>
  <si>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</si>
  <si>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</si>
  <si>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</si>
  <si>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</si>
  <si>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</si>
  <si>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</si>
  <si>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</si>
  <si>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</si>
  <si>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</si>
  <si>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</si>
  <si>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</si>
  <si>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</si>
  <si>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</si>
  <si>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</si>
  <si>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09, 2024</t>
  </si>
  <si>
    <t>Sep 06, 2024</t>
  </si>
  <si>
    <t>Sep 05, 2024</t>
  </si>
  <si>
    <t>Sep 04, 2024</t>
  </si>
  <si>
    <t>Sep 03,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</si>
  <si>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</si>
  <si>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</si>
  <si>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</si>
  <si>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</si>
  <si>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</si>
  <si>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</si>
  <si>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</si>
  <si>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</si>
  <si>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</si>
  <si>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</si>
  <si>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</si>
  <si>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</si>
  <si>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</si>
  <si>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</si>
  <si>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</si>
  <si>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09, 2024</t>
  </si>
  <si>
    <t>Aug 08, 2024</t>
  </si>
  <si>
    <t>Aug 07, 2024</t>
  </si>
  <si>
    <t>Aug 06, 2024</t>
  </si>
  <si>
    <t>Aug 05, 2024</t>
  </si>
  <si>
    <t>Aug 02, 2024</t>
  </si>
  <si>
    <t>Aug 01,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</si>
  <si>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</si>
  <si>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</si>
  <si>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</si>
  <si>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</si>
  <si>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</si>
  <si>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</si>
  <si>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</si>
  <si>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</si>
  <si>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</si>
  <si>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</si>
  <si>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</si>
  <si>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</si>
  <si>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</si>
  <si>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</si>
  <si>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</si>
  <si>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</si>
  <si>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09, 2024</t>
  </si>
  <si>
    <t>Jul 08, 2024</t>
  </si>
  <si>
    <t>Jul 05, 2024</t>
  </si>
  <si>
    <t>Jul 03, 2024</t>
  </si>
  <si>
    <t>Jul 02, 2024</t>
  </si>
  <si>
    <t>Jul 01,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</si>
  <si>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</si>
  <si>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</si>
  <si>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</si>
  <si>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</si>
  <si>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</si>
  <si>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</si>
  <si>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</si>
  <si>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</si>
  <si>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</si>
  <si>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</si>
  <si>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</si>
  <si>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</si>
  <si>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</si>
  <si>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</si>
  <si>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07, 2024</t>
  </si>
  <si>
    <t>Jun 06, 2024</t>
  </si>
  <si>
    <t>Jun 05, 2024</t>
  </si>
  <si>
    <t>Jun 04, 2024</t>
  </si>
  <si>
    <t>Jun 03,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</si>
  <si>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</si>
  <si>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</si>
  <si>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</si>
  <si>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</si>
  <si>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</si>
  <si>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</si>
  <si>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</si>
  <si>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</si>
  <si>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</si>
  <si>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</si>
  <si>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</si>
  <si>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</si>
  <si>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</si>
  <si>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</si>
  <si>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</si>
  <si>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09, 2024</t>
  </si>
  <si>
    <t>May 08, 2024</t>
  </si>
  <si>
    <t>May 07, 2024</t>
  </si>
  <si>
    <t>May 06, 2024</t>
  </si>
  <si>
    <t>May 03, 2024</t>
  </si>
  <si>
    <t>May 02, 2024</t>
  </si>
  <si>
    <t>May 01,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</si>
  <si>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</si>
  <si>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</si>
  <si>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</si>
  <si>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</si>
  <si>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</si>
  <si>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</si>
  <si>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</si>
  <si>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</si>
  <si>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</si>
  <si>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</si>
  <si>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</si>
  <si>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</si>
  <si>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</si>
  <si>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</si>
  <si>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</si>
  <si>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09, 2024</t>
  </si>
  <si>
    <t>Apr 08, 2024</t>
  </si>
  <si>
    <t>Apr 05, 2024</t>
  </si>
  <si>
    <t>Apr 04, 2024</t>
  </si>
  <si>
    <t>Apr 03, 2024</t>
  </si>
  <si>
    <t>Apr 02, 2024</t>
  </si>
  <si>
    <t>Apr 01,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</si>
  <si>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</si>
  <si>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</si>
  <si>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</si>
  <si>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</si>
  <si>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</si>
  <si>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</si>
  <si>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</si>
  <si>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</si>
  <si>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</si>
  <si>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</si>
  <si>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</si>
  <si>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</si>
  <si>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</si>
  <si>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</si>
  <si>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08, 2024</t>
  </si>
  <si>
    <t>Mar 07, 2024</t>
  </si>
  <si>
    <t>Mar 06, 2024</t>
  </si>
  <si>
    <t>Mar 05, 2024</t>
  </si>
  <si>
    <t>Mar 04, 2024</t>
  </si>
  <si>
    <t>Mar 01,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</si>
  <si>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</si>
  <si>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</si>
  <si>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</si>
  <si>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</si>
  <si>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</si>
  <si>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</si>
  <si>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</si>
  <si>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</si>
  <si>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</si>
  <si>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</si>
  <si>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</si>
  <si>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</si>
  <si>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</si>
  <si>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</si>
  <si>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</si>
  <si>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</si>
  <si>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</si>
  <si>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</si>
  <si>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</si>
  <si>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</si>
  <si>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</si>
  <si>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</si>
  <si>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</si>
  <si>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</si>
  <si>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</si>
  <si>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</si>
  <si>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</si>
  <si>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</si>
  <si>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</si>
  <si>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</si>
  <si>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</si>
  <si>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</si>
  <si>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</si>
  <si>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</si>
  <si>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</si>
  <si>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</si>
  <si>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</si>
  <si>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</si>
  <si>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</si>
  <si>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</si>
  <si>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</si>
  <si>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</si>
  <si>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</si>
  <si>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</si>
  <si>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</si>
  <si>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</si>
  <si>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</si>
  <si>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</si>
  <si>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</si>
  <si>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</si>
  <si>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</si>
  <si>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</si>
  <si>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</si>
  <si>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</si>
  <si>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</si>
  <si>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08, 2023</t>
  </si>
  <si>
    <t>Dec 07, 2023</t>
  </si>
  <si>
    <t>Dec 06, 2023</t>
  </si>
  <si>
    <t>Dec 05, 2023</t>
  </si>
  <si>
    <t>Dec 04, 2023</t>
  </si>
  <si>
    <t>Dec 01,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</si>
  <si>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</si>
  <si>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</si>
  <si>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</si>
  <si>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</si>
  <si>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</si>
  <si>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</si>
  <si>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</si>
  <si>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</si>
  <si>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</si>
  <si>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</si>
  <si>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</si>
  <si>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</si>
  <si>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</si>
  <si>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</si>
  <si>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09, 2023</t>
  </si>
  <si>
    <t>Nov 08, 2023</t>
  </si>
  <si>
    <t>Nov 07, 2023</t>
  </si>
  <si>
    <t>Nov 06, 2023</t>
  </si>
  <si>
    <t>Nov 03, 2023</t>
  </si>
  <si>
    <t>Nov 02, 2023</t>
  </si>
  <si>
    <t>Nov 01,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</si>
  <si>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</si>
  <si>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</si>
  <si>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</si>
  <si>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</si>
  <si>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</si>
  <si>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</si>
  <si>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</si>
  <si>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</si>
  <si>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</si>
  <si>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</si>
  <si>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</si>
  <si>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</si>
  <si>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</si>
  <si>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</si>
  <si>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</si>
  <si>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</si>
  <si>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09, 2023</t>
  </si>
  <si>
    <t>Oct 06, 2023</t>
  </si>
  <si>
    <t>Oct 05, 2023</t>
  </si>
  <si>
    <t>Oct 04, 2023</t>
  </si>
  <si>
    <t>Oct 03, 2023</t>
  </si>
  <si>
    <t>Oct 02,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</si>
  <si>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</si>
  <si>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</si>
  <si>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</si>
  <si>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</si>
  <si>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</si>
  <si>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</si>
  <si>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</si>
  <si>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</si>
  <si>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</si>
  <si>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</si>
  <si>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</si>
  <si>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</si>
  <si>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</si>
  <si>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</si>
  <si>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</si>
  <si>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08, 2023</t>
  </si>
  <si>
    <t>Sep 07, 2023</t>
  </si>
  <si>
    <t>Sep 06, 2023</t>
  </si>
  <si>
    <t>Sep 05, 2023</t>
  </si>
  <si>
    <t>Sep 01,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</si>
  <si>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</si>
  <si>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</si>
  <si>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</si>
  <si>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</si>
  <si>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</si>
  <si>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</si>
  <si>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</si>
  <si>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</si>
  <si>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</si>
  <si>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</si>
  <si>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</si>
  <si>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</si>
  <si>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</si>
  <si>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</si>
  <si>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</si>
  <si>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</si>
  <si>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09, 2023</t>
  </si>
  <si>
    <t>Aug 08, 2023</t>
  </si>
  <si>
    <t>Aug 07, 2023</t>
  </si>
  <si>
    <t>Aug 04, 2023</t>
  </si>
  <si>
    <t>Aug 03, 2023</t>
  </si>
  <si>
    <t>Aug 02, 2023</t>
  </si>
  <si>
    <t>Aug 01,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</si>
  <si>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</si>
  <si>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</si>
  <si>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</si>
  <si>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</si>
  <si>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</si>
  <si>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</si>
  <si>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</si>
  <si>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</si>
  <si>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</si>
  <si>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</si>
  <si>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</si>
  <si>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</si>
  <si>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</si>
  <si>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</si>
  <si>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</si>
  <si>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</si>
  <si>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07, 2023</t>
  </si>
  <si>
    <t>Jul 06, 2023</t>
  </si>
  <si>
    <t>Jul 05, 2023</t>
  </si>
  <si>
    <t>Jul 03,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</si>
  <si>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</si>
  <si>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</si>
  <si>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</si>
  <si>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</si>
  <si>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</si>
  <si>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</si>
  <si>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</si>
  <si>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</si>
  <si>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</si>
  <si>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</si>
  <si>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</si>
  <si>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</si>
  <si>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</si>
  <si>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</si>
  <si>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09, 2023</t>
  </si>
  <si>
    <t>Jun 08, 2023</t>
  </si>
  <si>
    <t>Jun 07, 2023</t>
  </si>
  <si>
    <t>Jun 06, 2023</t>
  </si>
  <si>
    <t>Jun 05, 2023</t>
  </si>
  <si>
    <t>Jun 02, 2023</t>
  </si>
  <si>
    <t>Jun 01,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</si>
  <si>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</si>
  <si>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</si>
  <si>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</si>
  <si>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</si>
  <si>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</si>
  <si>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</si>
  <si>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</si>
  <si>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</si>
  <si>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</si>
  <si>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</si>
  <si>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</si>
  <si>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</si>
  <si>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</si>
  <si>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</si>
  <si>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</si>
  <si>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09, 2023</t>
  </si>
  <si>
    <t>May 08, 2023</t>
  </si>
  <si>
    <t>May 05, 2023</t>
  </si>
  <si>
    <t>May 04, 2023</t>
  </si>
  <si>
    <t>May 03, 2023</t>
  </si>
  <si>
    <t>May 02, 2023</t>
  </si>
  <si>
    <t>May 01,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</si>
  <si>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</si>
  <si>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</si>
  <si>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</si>
  <si>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</si>
  <si>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</si>
  <si>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</si>
  <si>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</si>
  <si>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</si>
  <si>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</si>
  <si>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</si>
  <si>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</si>
  <si>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</si>
  <si>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</si>
  <si>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</si>
  <si>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</si>
  <si>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</si>
  <si>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</si>
  <si>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</si>
  <si>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</si>
  <si>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</si>
  <si>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</si>
  <si>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</si>
  <si>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</si>
  <si>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</si>
  <si>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</si>
  <si>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</si>
  <si>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</si>
  <si>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</si>
  <si>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</si>
  <si>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</si>
  <si>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</si>
  <si>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</si>
  <si>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</si>
  <si>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</si>
  <si>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</si>
  <si>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</si>
  <si>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</si>
  <si>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</si>
  <si>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</si>
  <si>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</si>
  <si>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</si>
  <si>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</si>
  <si>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</si>
  <si>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</si>
  <si>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</si>
  <si>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</si>
  <si>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</si>
  <si>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</si>
  <si>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</si>
  <si>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</si>
  <si>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</si>
  <si>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</si>
  <si>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</si>
  <si>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</si>
  <si>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</si>
  <si>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</si>
  <si>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</si>
  <si>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</si>
  <si>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</si>
  <si>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</si>
  <si>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</si>
  <si>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</si>
  <si>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</si>
  <si>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</si>
  <si>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</si>
  <si>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</si>
  <si>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</si>
  <si>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</si>
  <si>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</si>
  <si>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</si>
  <si>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</si>
  <si>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</si>
  <si>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</si>
  <si>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</si>
  <si>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</si>
  <si>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</si>
  <si>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</si>
  <si>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</si>
  <si>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</si>
  <si>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</si>
  <si>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</si>
  <si>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</si>
  <si>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</si>
  <si>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</si>
  <si>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</si>
  <si>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</si>
  <si>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</si>
  <si>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</si>
  <si>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</si>
  <si>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</si>
  <si>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</si>
  <si>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</si>
  <si>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</si>
  <si>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</si>
  <si>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</si>
  <si>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</si>
  <si>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</si>
  <si>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</si>
  <si>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</si>
  <si>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</si>
  <si>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</si>
  <si>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</si>
  <si>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</si>
  <si>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</si>
  <si>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</si>
  <si>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</si>
  <si>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</si>
  <si>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</si>
  <si>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</si>
  <si>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</si>
  <si>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</si>
  <si>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</si>
  <si>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</si>
  <si>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</si>
  <si>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</si>
  <si>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</si>
  <si>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</si>
  <si>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</si>
  <si>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</si>
  <si>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</si>
  <si>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</si>
  <si>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</si>
  <si>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</si>
  <si>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</si>
  <si>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</si>
  <si>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</si>
  <si>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</si>
  <si>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</si>
  <si>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</si>
  <si>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</si>
  <si>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</si>
  <si>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</si>
  <si>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</si>
  <si>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</si>
  <si>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</si>
  <si>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</si>
  <si>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</si>
  <si>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</si>
  <si>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</si>
  <si>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</si>
  <si>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</si>
  <si>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</si>
  <si>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</si>
  <si>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</si>
  <si>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</si>
  <si>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</si>
  <si>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</si>
  <si>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</si>
  <si>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</si>
  <si>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</si>
  <si>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</si>
  <si>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</si>
  <si>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</si>
  <si>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</si>
  <si>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</si>
  <si>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</si>
  <si>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</si>
  <si>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</si>
  <si>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</si>
  <si>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</si>
  <si>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</si>
  <si>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</si>
  <si>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</si>
  <si>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</si>
  <si>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</si>
  <si>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</si>
  <si>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</si>
  <si>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</si>
  <si>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</si>
  <si>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</si>
  <si>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</si>
  <si>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</si>
  <si>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</si>
  <si>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</si>
  <si>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</si>
  <si>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</si>
  <si>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</si>
  <si>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</si>
  <si>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</si>
  <si>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</si>
  <si>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</si>
  <si>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</si>
  <si>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</si>
  <si>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</si>
  <si>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</si>
  <si>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</si>
  <si>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</si>
  <si>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</si>
  <si>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</si>
  <si>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</si>
  <si>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</si>
  <si>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</si>
  <si>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</si>
  <si>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</si>
  <si>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</si>
  <si>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</si>
  <si>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</si>
  <si>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</si>
  <si>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</si>
  <si>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</si>
  <si>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</si>
  <si>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</si>
  <si>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</si>
  <si>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</si>
  <si>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</si>
  <si>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</si>
  <si>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</si>
  <si>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</si>
  <si>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</si>
  <si>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</si>
  <si>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</si>
  <si>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</si>
  <si>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</si>
  <si>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</si>
  <si>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</si>
  <si>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</si>
  <si>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</si>
  <si>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</si>
  <si>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</si>
  <si>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</si>
  <si>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</si>
  <si>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</si>
  <si>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</si>
  <si>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</si>
  <si>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</si>
  <si>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</si>
  <si>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</si>
  <si>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</si>
  <si>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</si>
  <si>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</si>
  <si>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</si>
  <si>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</si>
  <si>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</si>
  <si>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</si>
  <si>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</si>
  <si>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</si>
  <si>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</si>
  <si>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</si>
  <si>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</si>
  <si>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</si>
  <si>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</si>
  <si>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</si>
  <si>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</si>
  <si>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</si>
  <si>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</si>
  <si>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</si>
  <si>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</si>
  <si>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</si>
  <si>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</si>
  <si>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</si>
  <si>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</si>
  <si>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</si>
  <si>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</si>
  <si>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</si>
  <si>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</si>
  <si>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</si>
  <si>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</si>
  <si>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</si>
  <si>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</si>
  <si>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</si>
  <si>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</si>
  <si>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</si>
  <si>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</si>
  <si>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</si>
  <si>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</si>
  <si>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</si>
  <si>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</si>
  <si>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</si>
  <si>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</si>
  <si>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</si>
  <si>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</si>
  <si>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</si>
  <si>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</si>
  <si>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</si>
  <si>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</si>
  <si>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</si>
  <si>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</si>
  <si>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</si>
  <si>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</si>
  <si>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</si>
  <si>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</si>
  <si>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</si>
  <si>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</si>
  <si>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</si>
  <si>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</si>
  <si>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</si>
  <si>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</si>
  <si>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</si>
  <si>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</si>
  <si>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</si>
  <si>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</si>
  <si>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</si>
  <si>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</si>
  <si>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</si>
  <si>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</si>
  <si>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</si>
  <si>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</si>
  <si>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</si>
  <si>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</si>
  <si>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</si>
  <si>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</si>
  <si>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</si>
  <si>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</si>
  <si>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</si>
  <si>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</si>
  <si>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</si>
  <si>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</si>
  <si>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</si>
  <si>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</si>
  <si>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</si>
  <si>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</si>
  <si>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</si>
  <si>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</si>
  <si>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</si>
  <si>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</si>
  <si>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</si>
  <si>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</si>
  <si>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</si>
  <si>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</si>
  <si>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</si>
  <si>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</si>
  <si>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</si>
  <si>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</si>
  <si>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</si>
  <si>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</si>
  <si>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</si>
  <si>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</si>
  <si>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</si>
  <si>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</si>
  <si>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</si>
  <si>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</si>
  <si>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</si>
  <si>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</si>
  <si>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</si>
  <si>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</si>
  <si>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</si>
  <si>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</si>
  <si>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</si>
  <si>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</si>
  <si>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</si>
  <si>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</si>
  <si>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</si>
  <si>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</si>
  <si>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</si>
  <si>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</si>
  <si>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</si>
  <si>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</si>
  <si>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</si>
  <si>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</si>
  <si>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</si>
  <si>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</si>
  <si>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</si>
  <si>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</si>
  <si>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</si>
  <si>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</si>
  <si>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</si>
  <si>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</si>
  <si>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</si>
  <si>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</si>
  <si>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</si>
  <si>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</si>
  <si>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</si>
  <si>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</si>
  <si>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</si>
  <si>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</si>
  <si>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</si>
  <si>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</si>
  <si>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</si>
  <si>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</si>
  <si>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</si>
  <si>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</si>
  <si>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</si>
  <si>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</si>
  <si>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</si>
  <si>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</si>
  <si>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</si>
  <si>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</si>
  <si>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</si>
  <si>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</si>
  <si>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</si>
  <si>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</si>
  <si>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</si>
  <si>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</si>
  <si>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</si>
  <si>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</si>
  <si>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</si>
  <si>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</si>
  <si>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</si>
  <si>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</si>
  <si>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</si>
  <si>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</si>
  <si>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</si>
  <si>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</si>
  <si>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</si>
  <si>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</si>
  <si>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</si>
  <si>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</si>
  <si>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</si>
  <si>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</si>
  <si>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</si>
  <si>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</si>
  <si>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</si>
  <si>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</si>
  <si>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</si>
  <si>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</si>
  <si>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Asset</t>
  </si>
  <si>
    <t>Weight</t>
  </si>
  <si>
    <t xml:space="preserve">Portfolio Return </t>
  </si>
  <si>
    <t xml:space="preserve">Portfolio Value </t>
  </si>
  <si>
    <t xml:space="preserve">Annualised Volatility </t>
  </si>
  <si>
    <t>0,27</t>
  </si>
  <si>
    <t>Annualised Portfolio Volatility:</t>
  </si>
  <si>
    <t>Daily Portfolio Volitility:</t>
  </si>
  <si>
    <t xml:space="preserve">Stock </t>
  </si>
  <si>
    <t xml:space="preserve">COVARIANCE MATRIX </t>
  </si>
  <si>
    <t xml:space="preserve">CORROLATION MATRIX </t>
  </si>
  <si>
    <t>WEIGHTS</t>
  </si>
  <si>
    <t>ANNUALISED VOLATILITY</t>
  </si>
  <si>
    <t>Running High</t>
  </si>
  <si>
    <t xml:space="preserve">Drawdown </t>
  </si>
  <si>
    <t>PORFTOLIO RISK ANALYSIS</t>
  </si>
  <si>
    <t xml:space="preserve">Maximum Drawdown </t>
  </si>
  <si>
    <t>Historic VaR</t>
  </si>
  <si>
    <t>Parametric VaR</t>
  </si>
  <si>
    <t>Expected Shortfall</t>
  </si>
  <si>
    <t>95%</t>
  </si>
  <si>
    <t>99%</t>
  </si>
  <si>
    <t xml:space="preserve">Scenario </t>
  </si>
  <si>
    <t xml:space="preserve">Mild Market Downturn </t>
  </si>
  <si>
    <t xml:space="preserve">Severe Market Shock </t>
  </si>
  <si>
    <t>Tech Shock</t>
  </si>
  <si>
    <t xml:space="preserve">Energy Shock </t>
  </si>
  <si>
    <t xml:space="preserve">Financial Shock </t>
  </si>
  <si>
    <t xml:space="preserve">Portfolio Impact </t>
  </si>
  <si>
    <t xml:space="preserve">£ Impact </t>
  </si>
  <si>
    <t>Market Correction</t>
  </si>
  <si>
    <t>Estimated Loss</t>
  </si>
  <si>
    <t>Selected Stress Scenario:</t>
  </si>
  <si>
    <t>Portfolio Value:</t>
  </si>
  <si>
    <t>Annualised Return:</t>
  </si>
  <si>
    <t>Annualised Volatility:</t>
  </si>
  <si>
    <t xml:space="preserve">PORTFOLIO RISK MANAGEMENT </t>
  </si>
  <si>
    <t>Sharpe Ratio:</t>
  </si>
  <si>
    <t>Maximum Drawdown:</t>
  </si>
  <si>
    <t>95% 1-Day VaR:</t>
  </si>
  <si>
    <t>99% 1-Day VaR:</t>
  </si>
  <si>
    <t>Expected Shortfall:</t>
  </si>
  <si>
    <t>95%: &lt;£24,215.28        99%:&lt;£36,962.57</t>
  </si>
  <si>
    <t>Drawdown Chart</t>
  </si>
  <si>
    <t xml:space="preserve">Risk Contribution </t>
  </si>
  <si>
    <t>Drawdown:</t>
  </si>
  <si>
    <t xml:space="preserve">Risk Contribution: </t>
  </si>
  <si>
    <t>Total</t>
  </si>
  <si>
    <t>Workings</t>
  </si>
  <si>
    <t xml:space="preserve">Stress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</si>
</sst>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8" formatCode="&quot;£&quot;#,##0.00;[Red]\-&quot;£&quot;#,##0.00"/>
    <numFmt numFmtId="166" formatCode="dd/mm/yy;@"/>
    <numFmt numFmtId="171" formatCode="&quot;£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0" applyNumberFormat="1"/>
    <xf numFmtId="0" fontId="2" fillId="0" borderId="0" xfId="0" applyFont="1"/>
    <xf numFmtId="6" fontId="0" fillId="0" borderId="0" xfId="0" applyNumberFormat="1"/>
    <xf numFmtId="166" fontId="2" fillId="0" borderId="0" xfId="0" applyNumberFormat="1" applyFont="1"/>
    <xf numFmtId="166" fontId="0" fillId="2" borderId="1" xfId="0" applyNumberFormat="1" applyFont="1" applyFill="1" applyBorder="1"/>
    <xf numFmtId="166" fontId="0" fillId="0" borderId="1" xfId="0" applyNumberFormat="1" applyFont="1" applyBorder="1"/>
    <xf numFmtId="171" fontId="2" fillId="0" borderId="0" xfId="0" applyNumberFormat="1" applyFont="1"/>
    <xf numFmtId="171" fontId="0" fillId="0" borderId="0" xfId="0" applyNumberFormat="1"/>
    <xf numFmtId="0" fontId="0" fillId="0" borderId="0" xfId="0" applyFont="1"/>
    <xf numFmtId="10" fontId="2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0" fontId="4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2" xfId="0" applyBorder="1"/>
    <xf numFmtId="10" fontId="2" fillId="0" borderId="0" xfId="0" applyNumberFormat="1" applyFont="1"/>
    <xf numFmtId="6" fontId="0" fillId="0" borderId="0" xfId="0" applyNumberFormat="1" applyFont="1" applyAlignment="1">
      <alignment horizontal="left" vertical="top"/>
    </xf>
    <xf numFmtId="10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Border="1"/>
    <xf numFmtId="171" fontId="0" fillId="0" borderId="0" xfId="0" applyNumberFormat="1" applyBorder="1"/>
    <xf numFmtId="9" fontId="2" fillId="0" borderId="0" xfId="0" applyNumberFormat="1" applyFont="1"/>
  </cellXfs>
  <cellStyles count="2">
    <cellStyle name="Normal" xfId="0" builtinId="0"/>
    <cellStyle name="Percent" xfId="1" builtinId="5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3" formatCode="0%"/>
    </dxf>
    <dxf>
      <numFmt numFmtId="171" formatCode="&quot;£&quot;#,##0.00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1" formatCode="&quot;£&quot;#,##0.00"/>
    </dxf>
    <dxf>
      <numFmt numFmtId="171" formatCode="&quot;£&quot;#,##0.00"/>
    </dxf>
    <dxf>
      <numFmt numFmtId="2" formatCode="0.00"/>
    </dxf>
    <dxf>
      <numFmt numFmtId="14" formatCode="0.00%"/>
    </dxf>
    <dxf>
      <numFmt numFmtId="171" formatCode="&quot;£&quot;#,##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71" formatCode="&quot;£&quot;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dd/mm/yy;@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Value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Portfolio Value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Returns!$A$2:$A$1256</c:f>
              <c:numCache>
                <c:formatCode>dd/mm/yy;@</c:formatCode>
                <c:ptCount val="1255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  <c:pt idx="1252">
                  <c:v>46281</c:v>
                </c:pt>
                <c:pt idx="1253">
                  <c:v>46282</c:v>
                </c:pt>
                <c:pt idx="1254">
                  <c:v>46283</c:v>
                </c:pt>
              </c:numCache>
            </c:numRef>
          </c:cat>
          <c:val>
            <c:numRef>
              <c:f>Returns!$H$2:$H$1256</c:f>
              <c:numCache>
                <c:formatCode>"£"#,##0.00</c:formatCode>
                <c:ptCount val="1255"/>
                <c:pt idx="0">
                  <c:v>1000000</c:v>
                </c:pt>
                <c:pt idx="1">
                  <c:v>999533.77272791357</c:v>
                </c:pt>
                <c:pt idx="2">
                  <c:v>987579.29802588036</c:v>
                </c:pt>
                <c:pt idx="3">
                  <c:v>973031.55381841876</c:v>
                </c:pt>
                <c:pt idx="4">
                  <c:v>968306.36758979363</c:v>
                </c:pt>
                <c:pt idx="5">
                  <c:v>963985.78027090733</c:v>
                </c:pt>
                <c:pt idx="6">
                  <c:v>980923.19313522289</c:v>
                </c:pt>
                <c:pt idx="7">
                  <c:v>982173.60226053756</c:v>
                </c:pt>
                <c:pt idx="8">
                  <c:v>995732.93225239811</c:v>
                </c:pt>
                <c:pt idx="9">
                  <c:v>974751.83368168806</c:v>
                </c:pt>
                <c:pt idx="10">
                  <c:v>983508.07654724817</c:v>
                </c:pt>
                <c:pt idx="11">
                  <c:v>970221.90629043174</c:v>
                </c:pt>
                <c:pt idx="12">
                  <c:v>967973.66211563884</c:v>
                </c:pt>
                <c:pt idx="13">
                  <c:v>957745.26123480673</c:v>
                </c:pt>
                <c:pt idx="14">
                  <c:v>950390.64598726248</c:v>
                </c:pt>
                <c:pt idx="15">
                  <c:v>959624.16766293813</c:v>
                </c:pt>
                <c:pt idx="16">
                  <c:v>967309.0181149639</c:v>
                </c:pt>
                <c:pt idx="17">
                  <c:v>969080.15924336051</c:v>
                </c:pt>
                <c:pt idx="18">
                  <c:v>946468.98565218633</c:v>
                </c:pt>
                <c:pt idx="19">
                  <c:v>936496.52585353737</c:v>
                </c:pt>
                <c:pt idx="20">
                  <c:v>934473.39283240808</c:v>
                </c:pt>
                <c:pt idx="21">
                  <c:v>928392.34540624847</c:v>
                </c:pt>
                <c:pt idx="22">
                  <c:v>922768.82560026972</c:v>
                </c:pt>
                <c:pt idx="23">
                  <c:v>922486.38842105435</c:v>
                </c:pt>
                <c:pt idx="24">
                  <c:v>922711.05167401093</c:v>
                </c:pt>
                <c:pt idx="25">
                  <c:v>920736.62728323974</c:v>
                </c:pt>
                <c:pt idx="26">
                  <c:v>910341.82307577122</c:v>
                </c:pt>
                <c:pt idx="27">
                  <c:v>903559.75964967045</c:v>
                </c:pt>
                <c:pt idx="28">
                  <c:v>899410.22977543494</c:v>
                </c:pt>
                <c:pt idx="29">
                  <c:v>890890.82721128373</c:v>
                </c:pt>
                <c:pt idx="30">
                  <c:v>897175.79665818054</c:v>
                </c:pt>
                <c:pt idx="31">
                  <c:v>895128.39553083223</c:v>
                </c:pt>
                <c:pt idx="32">
                  <c:v>893603.1946790698</c:v>
                </c:pt>
                <c:pt idx="33">
                  <c:v>891568.83868269075</c:v>
                </c:pt>
                <c:pt idx="34">
                  <c:v>889998.51754536829</c:v>
                </c:pt>
                <c:pt idx="35">
                  <c:v>883732.68823882937</c:v>
                </c:pt>
                <c:pt idx="36">
                  <c:v>883405.39049580041</c:v>
                </c:pt>
                <c:pt idx="37">
                  <c:v>895247.80550446839</c:v>
                </c:pt>
                <c:pt idx="38">
                  <c:v>895166.71100530575</c:v>
                </c:pt>
                <c:pt idx="39">
                  <c:v>890930.75837499753</c:v>
                </c:pt>
                <c:pt idx="40">
                  <c:v>893583.92611828179</c:v>
                </c:pt>
                <c:pt idx="41">
                  <c:v>892464.5208794364</c:v>
                </c:pt>
                <c:pt idx="42">
                  <c:v>895326.32611894107</c:v>
                </c:pt>
                <c:pt idx="43">
                  <c:v>895389.10545963061</c:v>
                </c:pt>
                <c:pt idx="44">
                  <c:v>910437.42679477797</c:v>
                </c:pt>
                <c:pt idx="45">
                  <c:v>910206.67923331982</c:v>
                </c:pt>
                <c:pt idx="46">
                  <c:v>899170.19505018648</c:v>
                </c:pt>
                <c:pt idx="47">
                  <c:v>897864.04350460344</c:v>
                </c:pt>
                <c:pt idx="48">
                  <c:v>923621.2571978746</c:v>
                </c:pt>
                <c:pt idx="49">
                  <c:v>910389.02788527543</c:v>
                </c:pt>
                <c:pt idx="50">
                  <c:v>929646.1782675623</c:v>
                </c:pt>
                <c:pt idx="51">
                  <c:v>932261.23057290341</c:v>
                </c:pt>
                <c:pt idx="52">
                  <c:v>921008.44838246086</c:v>
                </c:pt>
                <c:pt idx="53">
                  <c:v>928579.44153256097</c:v>
                </c:pt>
                <c:pt idx="54">
                  <c:v>916681.07601439639</c:v>
                </c:pt>
                <c:pt idx="55">
                  <c:v>900207.75261897303</c:v>
                </c:pt>
                <c:pt idx="56">
                  <c:v>899049.57493833709</c:v>
                </c:pt>
                <c:pt idx="57">
                  <c:v>898850.62733184907</c:v>
                </c:pt>
                <c:pt idx="58">
                  <c:v>891176.48215908848</c:v>
                </c:pt>
                <c:pt idx="59">
                  <c:v>901650.48725853558</c:v>
                </c:pt>
                <c:pt idx="60">
                  <c:v>908545.04972734395</c:v>
                </c:pt>
                <c:pt idx="61">
                  <c:v>898650.08270678238</c:v>
                </c:pt>
                <c:pt idx="62">
                  <c:v>904011.20382019388</c:v>
                </c:pt>
                <c:pt idx="63">
                  <c:v>918467.41441291687</c:v>
                </c:pt>
                <c:pt idx="64">
                  <c:v>928204.22317459469</c:v>
                </c:pt>
                <c:pt idx="65">
                  <c:v>913624.97571313975</c:v>
                </c:pt>
                <c:pt idx="66">
                  <c:v>901984.65240099176</c:v>
                </c:pt>
                <c:pt idx="67">
                  <c:v>899372.81663771695</c:v>
                </c:pt>
                <c:pt idx="68">
                  <c:v>889055.58469622582</c:v>
                </c:pt>
                <c:pt idx="69">
                  <c:v>889977.69036721974</c:v>
                </c:pt>
                <c:pt idx="70">
                  <c:v>890384.97234268032</c:v>
                </c:pt>
                <c:pt idx="71">
                  <c:v>893880.05052030634</c:v>
                </c:pt>
                <c:pt idx="72">
                  <c:v>896929.63210806926</c:v>
                </c:pt>
                <c:pt idx="73">
                  <c:v>887207.49249491037</c:v>
                </c:pt>
                <c:pt idx="74">
                  <c:v>882221.4507087766</c:v>
                </c:pt>
                <c:pt idx="75">
                  <c:v>899304.04014366691</c:v>
                </c:pt>
                <c:pt idx="76">
                  <c:v>902403.69057434518</c:v>
                </c:pt>
                <c:pt idx="77">
                  <c:v>904407.73157671315</c:v>
                </c:pt>
                <c:pt idx="78">
                  <c:v>900550.13396440248</c:v>
                </c:pt>
                <c:pt idx="79">
                  <c:v>889768.24450270808</c:v>
                </c:pt>
                <c:pt idx="80">
                  <c:v>883557.76630428247</c:v>
                </c:pt>
                <c:pt idx="81">
                  <c:v>898848.8613237656</c:v>
                </c:pt>
                <c:pt idx="82">
                  <c:v>902744.83178681112</c:v>
                </c:pt>
                <c:pt idx="83">
                  <c:v>919825.4065614515</c:v>
                </c:pt>
                <c:pt idx="84">
                  <c:v>922813.25923112489</c:v>
                </c:pt>
                <c:pt idx="85">
                  <c:v>927353.54358908033</c:v>
                </c:pt>
                <c:pt idx="86">
                  <c:v>941928.42644293315</c:v>
                </c:pt>
                <c:pt idx="87">
                  <c:v>939160.88979464537</c:v>
                </c:pt>
                <c:pt idx="88">
                  <c:v>944854.27319236426</c:v>
                </c:pt>
                <c:pt idx="89">
                  <c:v>935787.0447365162</c:v>
                </c:pt>
                <c:pt idx="90">
                  <c:v>933859.91636891139</c:v>
                </c:pt>
                <c:pt idx="91">
                  <c:v>918824.2097926588</c:v>
                </c:pt>
                <c:pt idx="92">
                  <c:v>907941.20444340224</c:v>
                </c:pt>
                <c:pt idx="93">
                  <c:v>893754.8891184862</c:v>
                </c:pt>
                <c:pt idx="94">
                  <c:v>876251.62368986302</c:v>
                </c:pt>
                <c:pt idx="95">
                  <c:v>889660.78092710138</c:v>
                </c:pt>
                <c:pt idx="96">
                  <c:v>880472.87962614535</c:v>
                </c:pt>
                <c:pt idx="97">
                  <c:v>885693.03053299047</c:v>
                </c:pt>
                <c:pt idx="98">
                  <c:v>881279.6765332931</c:v>
                </c:pt>
                <c:pt idx="99">
                  <c:v>873253.93033171271</c:v>
                </c:pt>
                <c:pt idx="100">
                  <c:v>888604.27354301</c:v>
                </c:pt>
                <c:pt idx="101">
                  <c:v>899908.45598145202</c:v>
                </c:pt>
                <c:pt idx="102">
                  <c:v>904201.06551073946</c:v>
                </c:pt>
                <c:pt idx="103">
                  <c:v>897717.7518764328</c:v>
                </c:pt>
                <c:pt idx="104">
                  <c:v>894623.71456652822</c:v>
                </c:pt>
                <c:pt idx="105">
                  <c:v>915247.00349204661</c:v>
                </c:pt>
                <c:pt idx="106">
                  <c:v>922224.93556999741</c:v>
                </c:pt>
                <c:pt idx="107">
                  <c:v>927786.51429438684</c:v>
                </c:pt>
                <c:pt idx="108">
                  <c:v>940327.20320987876</c:v>
                </c:pt>
                <c:pt idx="109">
                  <c:v>933311.02635795623</c:v>
                </c:pt>
                <c:pt idx="110">
                  <c:v>912144.14263565268</c:v>
                </c:pt>
                <c:pt idx="111">
                  <c:v>916972.82021739986</c:v>
                </c:pt>
                <c:pt idx="112">
                  <c:v>926021.54709293845</c:v>
                </c:pt>
                <c:pt idx="113">
                  <c:v>911733.67233107309</c:v>
                </c:pt>
                <c:pt idx="114">
                  <c:v>914963.83628977928</c:v>
                </c:pt>
                <c:pt idx="115">
                  <c:v>915799.24660816987</c:v>
                </c:pt>
                <c:pt idx="116">
                  <c:v>936410.18050692172</c:v>
                </c:pt>
                <c:pt idx="117">
                  <c:v>942631.81392012397</c:v>
                </c:pt>
                <c:pt idx="118">
                  <c:v>924872.34512066073</c:v>
                </c:pt>
                <c:pt idx="119">
                  <c:v>922572.5918017138</c:v>
                </c:pt>
                <c:pt idx="120">
                  <c:v>937756.46580869181</c:v>
                </c:pt>
                <c:pt idx="121">
                  <c:v>949252.31724337116</c:v>
                </c:pt>
                <c:pt idx="122">
                  <c:v>941745.90859991009</c:v>
                </c:pt>
                <c:pt idx="123">
                  <c:v>923866.15149041486</c:v>
                </c:pt>
                <c:pt idx="124">
                  <c:v>912252.60851695144</c:v>
                </c:pt>
                <c:pt idx="125">
                  <c:v>907142.44146611053</c:v>
                </c:pt>
                <c:pt idx="126">
                  <c:v>900185.75209761679</c:v>
                </c:pt>
                <c:pt idx="127">
                  <c:v>890308.34322091681</c:v>
                </c:pt>
                <c:pt idx="128">
                  <c:v>896675.0129294988</c:v>
                </c:pt>
                <c:pt idx="129">
                  <c:v>884519.19704299269</c:v>
                </c:pt>
                <c:pt idx="130">
                  <c:v>879459.0225767371</c:v>
                </c:pt>
                <c:pt idx="131">
                  <c:v>882106.08508149313</c:v>
                </c:pt>
                <c:pt idx="132">
                  <c:v>879578.29214784841</c:v>
                </c:pt>
                <c:pt idx="133">
                  <c:v>875559.89529092843</c:v>
                </c:pt>
                <c:pt idx="134">
                  <c:v>894010.25434387708</c:v>
                </c:pt>
                <c:pt idx="135">
                  <c:v>891257.00455334818</c:v>
                </c:pt>
                <c:pt idx="136">
                  <c:v>884652.7004637447</c:v>
                </c:pt>
                <c:pt idx="137">
                  <c:v>890322.45602588763</c:v>
                </c:pt>
                <c:pt idx="138">
                  <c:v>898223.14475915965</c:v>
                </c:pt>
                <c:pt idx="139">
                  <c:v>893813.69363239955</c:v>
                </c:pt>
                <c:pt idx="140">
                  <c:v>890105.43963958498</c:v>
                </c:pt>
                <c:pt idx="141">
                  <c:v>913398.46680214815</c:v>
                </c:pt>
                <c:pt idx="142">
                  <c:v>916649.46039299516</c:v>
                </c:pt>
                <c:pt idx="143">
                  <c:v>912451.81851040875</c:v>
                </c:pt>
                <c:pt idx="144">
                  <c:v>922402.87251812802</c:v>
                </c:pt>
                <c:pt idx="145">
                  <c:v>915997.12722405838</c:v>
                </c:pt>
                <c:pt idx="146">
                  <c:v>906343.20911977068</c:v>
                </c:pt>
                <c:pt idx="147">
                  <c:v>904650.44861872669</c:v>
                </c:pt>
                <c:pt idx="148">
                  <c:v>919133.29607574607</c:v>
                </c:pt>
                <c:pt idx="149">
                  <c:v>946983.1606232936</c:v>
                </c:pt>
                <c:pt idx="150">
                  <c:v>942657.47274357663</c:v>
                </c:pt>
                <c:pt idx="151">
                  <c:v>966550.97798382735</c:v>
                </c:pt>
                <c:pt idx="152">
                  <c:v>962210.858244356</c:v>
                </c:pt>
                <c:pt idx="153">
                  <c:v>938534.77584252635</c:v>
                </c:pt>
                <c:pt idx="154">
                  <c:v>970418.86736830731</c:v>
                </c:pt>
                <c:pt idx="155">
                  <c:v>960054.38019493525</c:v>
                </c:pt>
                <c:pt idx="156">
                  <c:v>953321.20194740791</c:v>
                </c:pt>
                <c:pt idx="157">
                  <c:v>923836.01891307929</c:v>
                </c:pt>
                <c:pt idx="158">
                  <c:v>953789.47982936853</c:v>
                </c:pt>
                <c:pt idx="159">
                  <c:v>952421.14608972252</c:v>
                </c:pt>
                <c:pt idx="160">
                  <c:v>989607.18657246477</c:v>
                </c:pt>
                <c:pt idx="161">
                  <c:v>985725.18454600323</c:v>
                </c:pt>
                <c:pt idx="162">
                  <c:v>991868.48998560326</c:v>
                </c:pt>
                <c:pt idx="163">
                  <c:v>999549.80702203035</c:v>
                </c:pt>
                <c:pt idx="164">
                  <c:v>979358.41235443181</c:v>
                </c:pt>
                <c:pt idx="165">
                  <c:v>977182.80452093366</c:v>
                </c:pt>
                <c:pt idx="166">
                  <c:v>959826.13753907208</c:v>
                </c:pt>
                <c:pt idx="167">
                  <c:v>991895.06916147564</c:v>
                </c:pt>
                <c:pt idx="168">
                  <c:v>994283.56397487258</c:v>
                </c:pt>
                <c:pt idx="169">
                  <c:v>994585.92380033107</c:v>
                </c:pt>
                <c:pt idx="170">
                  <c:v>965335.85637768742</c:v>
                </c:pt>
                <c:pt idx="171">
                  <c:v>970312.37324761937</c:v>
                </c:pt>
                <c:pt idx="172">
                  <c:v>963090.8998204692</c:v>
                </c:pt>
                <c:pt idx="173">
                  <c:v>951543.13035991683</c:v>
                </c:pt>
                <c:pt idx="174">
                  <c:v>932434.22002840892</c:v>
                </c:pt>
                <c:pt idx="175">
                  <c:v>936622.28344067512</c:v>
                </c:pt>
                <c:pt idx="176">
                  <c:v>937441.74008591752</c:v>
                </c:pt>
                <c:pt idx="177">
                  <c:v>927501.36806832685</c:v>
                </c:pt>
                <c:pt idx="178">
                  <c:v>938143.03105914313</c:v>
                </c:pt>
                <c:pt idx="179">
                  <c:v>934697.68311519781</c:v>
                </c:pt>
                <c:pt idx="180">
                  <c:v>920316.42651191866</c:v>
                </c:pt>
                <c:pt idx="181">
                  <c:v>923833.01863358088</c:v>
                </c:pt>
                <c:pt idx="182">
                  <c:v>941145.29188925435</c:v>
                </c:pt>
                <c:pt idx="183">
                  <c:v>970609.26542422303</c:v>
                </c:pt>
                <c:pt idx="184">
                  <c:v>1009353.8489091235</c:v>
                </c:pt>
                <c:pt idx="185">
                  <c:v>1013243.6783005958</c:v>
                </c:pt>
                <c:pt idx="186">
                  <c:v>1000858.1734307562</c:v>
                </c:pt>
                <c:pt idx="187">
                  <c:v>1027534.593285189</c:v>
                </c:pt>
                <c:pt idx="188">
                  <c:v>1038287.0197319461</c:v>
                </c:pt>
                <c:pt idx="189">
                  <c:v>995720.83449513675</c:v>
                </c:pt>
                <c:pt idx="190">
                  <c:v>1001813.511180083</c:v>
                </c:pt>
                <c:pt idx="191">
                  <c:v>1000418.8167154144</c:v>
                </c:pt>
                <c:pt idx="192">
                  <c:v>976098.44414545503</c:v>
                </c:pt>
                <c:pt idx="193">
                  <c:v>974817.87181344954</c:v>
                </c:pt>
                <c:pt idx="194">
                  <c:v>982467.43824326864</c:v>
                </c:pt>
                <c:pt idx="195">
                  <c:v>985812.3857686728</c:v>
                </c:pt>
                <c:pt idx="196">
                  <c:v>1004607.7499168927</c:v>
                </c:pt>
                <c:pt idx="197">
                  <c:v>994509.35630888259</c:v>
                </c:pt>
                <c:pt idx="198">
                  <c:v>996045.19478368631</c:v>
                </c:pt>
                <c:pt idx="199">
                  <c:v>992362.03800309019</c:v>
                </c:pt>
                <c:pt idx="200">
                  <c:v>973016.2702567965</c:v>
                </c:pt>
                <c:pt idx="201">
                  <c:v>971313.44649334555</c:v>
                </c:pt>
                <c:pt idx="202">
                  <c:v>984018.03088966617</c:v>
                </c:pt>
                <c:pt idx="203">
                  <c:v>998715.26593734452</c:v>
                </c:pt>
                <c:pt idx="204">
                  <c:v>1010613.2779083893</c:v>
                </c:pt>
                <c:pt idx="205">
                  <c:v>1022281.6177605281</c:v>
                </c:pt>
                <c:pt idx="206">
                  <c:v>994726.65297433466</c:v>
                </c:pt>
                <c:pt idx="207">
                  <c:v>1004112.6186532916</c:v>
                </c:pt>
                <c:pt idx="208">
                  <c:v>976491.44961087662</c:v>
                </c:pt>
                <c:pt idx="209">
                  <c:v>977441.51455728197</c:v>
                </c:pt>
                <c:pt idx="210">
                  <c:v>975696.16976202698</c:v>
                </c:pt>
                <c:pt idx="211">
                  <c:v>993546.2352027751</c:v>
                </c:pt>
                <c:pt idx="212">
                  <c:v>985197.41858612024</c:v>
                </c:pt>
                <c:pt idx="213">
                  <c:v>998413.52485305828</c:v>
                </c:pt>
                <c:pt idx="214">
                  <c:v>963209.6143605723</c:v>
                </c:pt>
                <c:pt idx="215">
                  <c:v>951957.19322131423</c:v>
                </c:pt>
                <c:pt idx="216">
                  <c:v>935945.45726805821</c:v>
                </c:pt>
                <c:pt idx="217">
                  <c:v>949316.94295214966</c:v>
                </c:pt>
                <c:pt idx="218">
                  <c:v>954907.41206225823</c:v>
                </c:pt>
                <c:pt idx="219">
                  <c:v>947534.47772313317</c:v>
                </c:pt>
                <c:pt idx="220">
                  <c:v>959424.88372152438</c:v>
                </c:pt>
                <c:pt idx="221">
                  <c:v>952282.44797066529</c:v>
                </c:pt>
                <c:pt idx="222">
                  <c:v>955062.61575808667</c:v>
                </c:pt>
                <c:pt idx="223">
                  <c:v>949413.40865618142</c:v>
                </c:pt>
                <c:pt idx="224">
                  <c:v>933259.1902622272</c:v>
                </c:pt>
                <c:pt idx="225">
                  <c:v>929750.92531806999</c:v>
                </c:pt>
                <c:pt idx="226">
                  <c:v>913935.24734334624</c:v>
                </c:pt>
                <c:pt idx="227">
                  <c:v>914887.55815199623</c:v>
                </c:pt>
                <c:pt idx="228">
                  <c:v>915431.42956966162</c:v>
                </c:pt>
                <c:pt idx="229">
                  <c:v>919655.49416881637</c:v>
                </c:pt>
                <c:pt idx="230">
                  <c:v>916557.50182435883</c:v>
                </c:pt>
                <c:pt idx="231">
                  <c:v>927947.27700138593</c:v>
                </c:pt>
                <c:pt idx="232">
                  <c:v>942954.14324081817</c:v>
                </c:pt>
                <c:pt idx="233">
                  <c:v>941746.43230896245</c:v>
                </c:pt>
                <c:pt idx="234">
                  <c:v>940684.27924397413</c:v>
                </c:pt>
                <c:pt idx="235">
                  <c:v>926731.29937695188</c:v>
                </c:pt>
                <c:pt idx="236">
                  <c:v>957657.24201267399</c:v>
                </c:pt>
                <c:pt idx="237">
                  <c:v>957327.2802708291</c:v>
                </c:pt>
                <c:pt idx="238">
                  <c:v>969899.92681043549</c:v>
                </c:pt>
                <c:pt idx="239">
                  <c:v>976226.58101915545</c:v>
                </c:pt>
                <c:pt idx="240">
                  <c:v>974822.58971448033</c:v>
                </c:pt>
                <c:pt idx="241">
                  <c:v>982292.39438698953</c:v>
                </c:pt>
                <c:pt idx="242">
                  <c:v>987166.24938723177</c:v>
                </c:pt>
                <c:pt idx="243">
                  <c:v>975200.84628746205</c:v>
                </c:pt>
                <c:pt idx="244">
                  <c:v>968633.95103185182</c:v>
                </c:pt>
                <c:pt idx="245">
                  <c:v>956728.49886612338</c:v>
                </c:pt>
                <c:pt idx="246">
                  <c:v>947905.35427587875</c:v>
                </c:pt>
                <c:pt idx="247">
                  <c:v>988547.45810449426</c:v>
                </c:pt>
                <c:pt idx="248">
                  <c:v>984459.70819245791</c:v>
                </c:pt>
                <c:pt idx="249">
                  <c:v>991966.8349059897</c:v>
                </c:pt>
                <c:pt idx="250">
                  <c:v>998210.4747891532</c:v>
                </c:pt>
                <c:pt idx="251">
                  <c:v>995091.43435690901</c:v>
                </c:pt>
                <c:pt idx="252">
                  <c:v>1006492.5434460219</c:v>
                </c:pt>
                <c:pt idx="253">
                  <c:v>1026714.5261339623</c:v>
                </c:pt>
                <c:pt idx="254">
                  <c:v>1024285.8711452318</c:v>
                </c:pt>
                <c:pt idx="255">
                  <c:v>1046773.0005467399</c:v>
                </c:pt>
                <c:pt idx="256">
                  <c:v>1059578.0695809782</c:v>
                </c:pt>
                <c:pt idx="257">
                  <c:v>1059515.0865960133</c:v>
                </c:pt>
                <c:pt idx="258">
                  <c:v>1036072.0639021526</c:v>
                </c:pt>
                <c:pt idx="259">
                  <c:v>1050873.565733345</c:v>
                </c:pt>
                <c:pt idx="260">
                  <c:v>1067100.1647020529</c:v>
                </c:pt>
                <c:pt idx="261">
                  <c:v>1032258.6321761206</c:v>
                </c:pt>
                <c:pt idx="262">
                  <c:v>999909.72798567696</c:v>
                </c:pt>
                <c:pt idx="263">
                  <c:v>993309.34862563841</c:v>
                </c:pt>
                <c:pt idx="264">
                  <c:v>996722.50298430223</c:v>
                </c:pt>
                <c:pt idx="265">
                  <c:v>1024674.8143951746</c:v>
                </c:pt>
                <c:pt idx="266">
                  <c:v>1039786.0043578518</c:v>
                </c:pt>
                <c:pt idx="267">
                  <c:v>1052369.9445352403</c:v>
                </c:pt>
                <c:pt idx="268">
                  <c:v>1046884.7299615304</c:v>
                </c:pt>
                <c:pt idx="269">
                  <c:v>1013933.2563351507</c:v>
                </c:pt>
                <c:pt idx="270">
                  <c:v>1025111.8684002814</c:v>
                </c:pt>
                <c:pt idx="271">
                  <c:v>995759.95731135667</c:v>
                </c:pt>
                <c:pt idx="272">
                  <c:v>987888.90569486038</c:v>
                </c:pt>
                <c:pt idx="273">
                  <c:v>990829.6958521225</c:v>
                </c:pt>
                <c:pt idx="274">
                  <c:v>990568.11510263721</c:v>
                </c:pt>
                <c:pt idx="275">
                  <c:v>965152.11983761354</c:v>
                </c:pt>
                <c:pt idx="276">
                  <c:v>954160.12546584464</c:v>
                </c:pt>
                <c:pt idx="277">
                  <c:v>949259.15312192391</c:v>
                </c:pt>
                <c:pt idx="278">
                  <c:v>978825.35553292197</c:v>
                </c:pt>
                <c:pt idx="279">
                  <c:v>987509.9492450048</c:v>
                </c:pt>
                <c:pt idx="280">
                  <c:v>960201.38888260361</c:v>
                </c:pt>
                <c:pt idx="281">
                  <c:v>965672.02104482183</c:v>
                </c:pt>
                <c:pt idx="282">
                  <c:v>975087.55821411812</c:v>
                </c:pt>
                <c:pt idx="283">
                  <c:v>997384.3900927431</c:v>
                </c:pt>
                <c:pt idx="284">
                  <c:v>1008203.5288145517</c:v>
                </c:pt>
                <c:pt idx="285">
                  <c:v>988856.23820014822</c:v>
                </c:pt>
                <c:pt idx="286">
                  <c:v>973123.34093333757</c:v>
                </c:pt>
                <c:pt idx="287">
                  <c:v>967825.68341820431</c:v>
                </c:pt>
                <c:pt idx="288">
                  <c:v>991112.11265961302</c:v>
                </c:pt>
                <c:pt idx="289">
                  <c:v>950108.46110851772</c:v>
                </c:pt>
                <c:pt idx="290">
                  <c:v>944039.15996761434</c:v>
                </c:pt>
                <c:pt idx="291">
                  <c:v>954245.63099139731</c:v>
                </c:pt>
                <c:pt idx="292">
                  <c:v>952810.69750619004</c:v>
                </c:pt>
                <c:pt idx="293">
                  <c:v>950306.70862400869</c:v>
                </c:pt>
                <c:pt idx="294">
                  <c:v>950487.04157975246</c:v>
                </c:pt>
                <c:pt idx="295">
                  <c:v>947201.3327264603</c:v>
                </c:pt>
                <c:pt idx="296">
                  <c:v>957889.85215354455</c:v>
                </c:pt>
                <c:pt idx="297">
                  <c:v>942322.68317174725</c:v>
                </c:pt>
                <c:pt idx="298">
                  <c:v>934290.12751942337</c:v>
                </c:pt>
                <c:pt idx="299">
                  <c:v>933814.63449221069</c:v>
                </c:pt>
                <c:pt idx="300">
                  <c:v>951979.24695077306</c:v>
                </c:pt>
                <c:pt idx="301">
                  <c:v>952051.00164884387</c:v>
                </c:pt>
                <c:pt idx="302">
                  <c:v>919571.12107928412</c:v>
                </c:pt>
                <c:pt idx="303">
                  <c:v>927139.6848571297</c:v>
                </c:pt>
                <c:pt idx="304">
                  <c:v>930679.62034450914</c:v>
                </c:pt>
                <c:pt idx="305">
                  <c:v>947053.18445689802</c:v>
                </c:pt>
                <c:pt idx="306">
                  <c:v>959434.3256899917</c:v>
                </c:pt>
                <c:pt idx="307">
                  <c:v>963445.60954563064</c:v>
                </c:pt>
                <c:pt idx="308">
                  <c:v>958442.52570579271</c:v>
                </c:pt>
                <c:pt idx="309">
                  <c:v>967598.97742777516</c:v>
                </c:pt>
                <c:pt idx="310">
                  <c:v>951178.44387871947</c:v>
                </c:pt>
                <c:pt idx="311">
                  <c:v>944113.53376849799</c:v>
                </c:pt>
                <c:pt idx="312">
                  <c:v>947314.76400789118</c:v>
                </c:pt>
                <c:pt idx="313">
                  <c:v>972846.35991605243</c:v>
                </c:pt>
                <c:pt idx="314">
                  <c:v>981622.25071260426</c:v>
                </c:pt>
                <c:pt idx="315">
                  <c:v>987117.98010584735</c:v>
                </c:pt>
                <c:pt idx="316">
                  <c:v>982258.13151920994</c:v>
                </c:pt>
                <c:pt idx="317">
                  <c:v>971515.83285092749</c:v>
                </c:pt>
                <c:pt idx="318">
                  <c:v>987048.4647481133</c:v>
                </c:pt>
                <c:pt idx="319">
                  <c:v>975740.73861784127</c:v>
                </c:pt>
                <c:pt idx="320">
                  <c:v>977690.95353457471</c:v>
                </c:pt>
                <c:pt idx="321">
                  <c:v>986367.92358770815</c:v>
                </c:pt>
                <c:pt idx="322">
                  <c:v>972480.15070750029</c:v>
                </c:pt>
                <c:pt idx="323">
                  <c:v>970630.95212965447</c:v>
                </c:pt>
                <c:pt idx="324">
                  <c:v>978636.59429927182</c:v>
                </c:pt>
                <c:pt idx="325">
                  <c:v>993004.81560869573</c:v>
                </c:pt>
                <c:pt idx="326">
                  <c:v>1004995.6737688805</c:v>
                </c:pt>
                <c:pt idx="327">
                  <c:v>993837.23221819452</c:v>
                </c:pt>
                <c:pt idx="328">
                  <c:v>994986.74640679453</c:v>
                </c:pt>
                <c:pt idx="329">
                  <c:v>989517.7731103953</c:v>
                </c:pt>
                <c:pt idx="330">
                  <c:v>970313.79444999481</c:v>
                </c:pt>
                <c:pt idx="331">
                  <c:v>965068.51281777641</c:v>
                </c:pt>
                <c:pt idx="332">
                  <c:v>960182.70626191318</c:v>
                </c:pt>
                <c:pt idx="333">
                  <c:v>966182.16425540601</c:v>
                </c:pt>
                <c:pt idx="334">
                  <c:v>983889.96665082744</c:v>
                </c:pt>
                <c:pt idx="335">
                  <c:v>981219.41157705465</c:v>
                </c:pt>
                <c:pt idx="336">
                  <c:v>959539.80871125928</c:v>
                </c:pt>
                <c:pt idx="337">
                  <c:v>952576.81881547894</c:v>
                </c:pt>
                <c:pt idx="338">
                  <c:v>951441.02981215646</c:v>
                </c:pt>
                <c:pt idx="339">
                  <c:v>957279.43000716984</c:v>
                </c:pt>
                <c:pt idx="340">
                  <c:v>938498.63006972359</c:v>
                </c:pt>
                <c:pt idx="341">
                  <c:v>940392.22018154734</c:v>
                </c:pt>
                <c:pt idx="342">
                  <c:v>954437.62746145192</c:v>
                </c:pt>
                <c:pt idx="343">
                  <c:v>936557.46374471986</c:v>
                </c:pt>
                <c:pt idx="344">
                  <c:v>933333.99047980772</c:v>
                </c:pt>
                <c:pt idx="345">
                  <c:v>929598.11782947392</c:v>
                </c:pt>
                <c:pt idx="346">
                  <c:v>934753.44271541364</c:v>
                </c:pt>
                <c:pt idx="347">
                  <c:v>937270.69056373928</c:v>
                </c:pt>
                <c:pt idx="348">
                  <c:v>913340.80943787878</c:v>
                </c:pt>
                <c:pt idx="349">
                  <c:v>929629.51082635904</c:v>
                </c:pt>
                <c:pt idx="350">
                  <c:v>941641.73690419621</c:v>
                </c:pt>
                <c:pt idx="351">
                  <c:v>931172.08570265933</c:v>
                </c:pt>
                <c:pt idx="352">
                  <c:v>923773.29104140075</c:v>
                </c:pt>
                <c:pt idx="353">
                  <c:v>925379.19407818397</c:v>
                </c:pt>
                <c:pt idx="354">
                  <c:v>922940.41323240299</c:v>
                </c:pt>
                <c:pt idx="355">
                  <c:v>935358.50415512314</c:v>
                </c:pt>
                <c:pt idx="356">
                  <c:v>943143.48248437233</c:v>
                </c:pt>
                <c:pt idx="357">
                  <c:v>959135.36509103584</c:v>
                </c:pt>
                <c:pt idx="358">
                  <c:v>965263.65839833033</c:v>
                </c:pt>
                <c:pt idx="359">
                  <c:v>960020.59831652371</c:v>
                </c:pt>
                <c:pt idx="360">
                  <c:v>969264.78883679525</c:v>
                </c:pt>
                <c:pt idx="361">
                  <c:v>966012.65396910522</c:v>
                </c:pt>
                <c:pt idx="362">
                  <c:v>968687.14075482078</c:v>
                </c:pt>
                <c:pt idx="363">
                  <c:v>970198.83481965703</c:v>
                </c:pt>
                <c:pt idx="364">
                  <c:v>963145.89881389809</c:v>
                </c:pt>
                <c:pt idx="365">
                  <c:v>950353.19063253782</c:v>
                </c:pt>
                <c:pt idx="366">
                  <c:v>944824.45674961992</c:v>
                </c:pt>
                <c:pt idx="367">
                  <c:v>961574.28819456231</c:v>
                </c:pt>
                <c:pt idx="368">
                  <c:v>966472.25929076679</c:v>
                </c:pt>
                <c:pt idx="369">
                  <c:v>986500.06311685138</c:v>
                </c:pt>
                <c:pt idx="370">
                  <c:v>991971.57559471659</c:v>
                </c:pt>
                <c:pt idx="371">
                  <c:v>991286.41628860275</c:v>
                </c:pt>
                <c:pt idx="372">
                  <c:v>973932.64221459359</c:v>
                </c:pt>
                <c:pt idx="373">
                  <c:v>985690.87453976576</c:v>
                </c:pt>
                <c:pt idx="374">
                  <c:v>964386.1070369326</c:v>
                </c:pt>
                <c:pt idx="375">
                  <c:v>970594.78689269489</c:v>
                </c:pt>
                <c:pt idx="376">
                  <c:v>966453.81132828561</c:v>
                </c:pt>
                <c:pt idx="377">
                  <c:v>943961.01817818149</c:v>
                </c:pt>
                <c:pt idx="378">
                  <c:v>959076.22279656422</c:v>
                </c:pt>
                <c:pt idx="379">
                  <c:v>956316.58207622892</c:v>
                </c:pt>
                <c:pt idx="380">
                  <c:v>954893.53750054969</c:v>
                </c:pt>
                <c:pt idx="381">
                  <c:v>951600.9165654697</c:v>
                </c:pt>
                <c:pt idx="382">
                  <c:v>955901.37984930375</c:v>
                </c:pt>
                <c:pt idx="383">
                  <c:v>950485.52270466508</c:v>
                </c:pt>
                <c:pt idx="384">
                  <c:v>947298.38003390888</c:v>
                </c:pt>
                <c:pt idx="385">
                  <c:v>935755.74064117367</c:v>
                </c:pt>
                <c:pt idx="386">
                  <c:v>916911.70557780785</c:v>
                </c:pt>
                <c:pt idx="387">
                  <c:v>920925.00245282229</c:v>
                </c:pt>
                <c:pt idx="388">
                  <c:v>914037.28062098206</c:v>
                </c:pt>
                <c:pt idx="389">
                  <c:v>904841.48591868381</c:v>
                </c:pt>
                <c:pt idx="390">
                  <c:v>908960.99170244008</c:v>
                </c:pt>
                <c:pt idx="391">
                  <c:v>910878.76332627248</c:v>
                </c:pt>
                <c:pt idx="392">
                  <c:v>911836.81457119423</c:v>
                </c:pt>
                <c:pt idx="393">
                  <c:v>899796.90391965595</c:v>
                </c:pt>
                <c:pt idx="394">
                  <c:v>891772.66317997093</c:v>
                </c:pt>
                <c:pt idx="395">
                  <c:v>897976.72662900423</c:v>
                </c:pt>
                <c:pt idx="396">
                  <c:v>895646.71910268068</c:v>
                </c:pt>
                <c:pt idx="397">
                  <c:v>903669.66719220974</c:v>
                </c:pt>
                <c:pt idx="398">
                  <c:v>904754.72446146724</c:v>
                </c:pt>
                <c:pt idx="399">
                  <c:v>905897.51923058822</c:v>
                </c:pt>
                <c:pt idx="400">
                  <c:v>902025.29333213926</c:v>
                </c:pt>
                <c:pt idx="401">
                  <c:v>915369.99973383057</c:v>
                </c:pt>
                <c:pt idx="402">
                  <c:v>911665.38408638642</c:v>
                </c:pt>
                <c:pt idx="403">
                  <c:v>892050.80580938188</c:v>
                </c:pt>
                <c:pt idx="404">
                  <c:v>886649.33812016749</c:v>
                </c:pt>
                <c:pt idx="405">
                  <c:v>888537.44133283454</c:v>
                </c:pt>
                <c:pt idx="406">
                  <c:v>902934.28814249835</c:v>
                </c:pt>
                <c:pt idx="407">
                  <c:v>912357.2073537067</c:v>
                </c:pt>
                <c:pt idx="408">
                  <c:v>919606.0047918529</c:v>
                </c:pt>
                <c:pt idx="409">
                  <c:v>904389.45788244531</c:v>
                </c:pt>
                <c:pt idx="410">
                  <c:v>901334.14458407788</c:v>
                </c:pt>
                <c:pt idx="411">
                  <c:v>904626.95311402041</c:v>
                </c:pt>
                <c:pt idx="412">
                  <c:v>896813.75832609832</c:v>
                </c:pt>
                <c:pt idx="413">
                  <c:v>895035.31826459989</c:v>
                </c:pt>
                <c:pt idx="414">
                  <c:v>895965.13528706518</c:v>
                </c:pt>
                <c:pt idx="415">
                  <c:v>897005.45914965821</c:v>
                </c:pt>
                <c:pt idx="416">
                  <c:v>899540.65770316962</c:v>
                </c:pt>
                <c:pt idx="417">
                  <c:v>884662.17431560066</c:v>
                </c:pt>
                <c:pt idx="418">
                  <c:v>878432.51157766406</c:v>
                </c:pt>
                <c:pt idx="419">
                  <c:v>878377.39278045448</c:v>
                </c:pt>
                <c:pt idx="420">
                  <c:v>876551.04027219559</c:v>
                </c:pt>
                <c:pt idx="421">
                  <c:v>883349.4390810167</c:v>
                </c:pt>
                <c:pt idx="422">
                  <c:v>885724.71942986583</c:v>
                </c:pt>
                <c:pt idx="423">
                  <c:v>879406.25714966853</c:v>
                </c:pt>
                <c:pt idx="424">
                  <c:v>872264.95597467199</c:v>
                </c:pt>
                <c:pt idx="425">
                  <c:v>876000.87890539144</c:v>
                </c:pt>
                <c:pt idx="426">
                  <c:v>881422.44220031833</c:v>
                </c:pt>
                <c:pt idx="427">
                  <c:v>871315.83731974207</c:v>
                </c:pt>
                <c:pt idx="428">
                  <c:v>858900.64466093166</c:v>
                </c:pt>
                <c:pt idx="429">
                  <c:v>859754.31855427532</c:v>
                </c:pt>
                <c:pt idx="430">
                  <c:v>861196.30027486105</c:v>
                </c:pt>
                <c:pt idx="431">
                  <c:v>869960.74871816766</c:v>
                </c:pt>
                <c:pt idx="432">
                  <c:v>867095.04836706468</c:v>
                </c:pt>
                <c:pt idx="433">
                  <c:v>865907.83061435632</c:v>
                </c:pt>
                <c:pt idx="434">
                  <c:v>863254.32006223802</c:v>
                </c:pt>
                <c:pt idx="435">
                  <c:v>860900.601110021</c:v>
                </c:pt>
                <c:pt idx="436">
                  <c:v>874082.80678843439</c:v>
                </c:pt>
                <c:pt idx="437">
                  <c:v>860570.32586289837</c:v>
                </c:pt>
                <c:pt idx="438">
                  <c:v>869443.10161652695</c:v>
                </c:pt>
                <c:pt idx="439">
                  <c:v>873196.29521413054</c:v>
                </c:pt>
                <c:pt idx="440">
                  <c:v>874872.70107398753</c:v>
                </c:pt>
                <c:pt idx="441">
                  <c:v>871586.67518809868</c:v>
                </c:pt>
                <c:pt idx="442">
                  <c:v>878342.06988982158</c:v>
                </c:pt>
                <c:pt idx="443">
                  <c:v>883382.97105214593</c:v>
                </c:pt>
                <c:pt idx="444">
                  <c:v>878497.36850144283</c:v>
                </c:pt>
                <c:pt idx="445">
                  <c:v>877483.51930448925</c:v>
                </c:pt>
                <c:pt idx="446">
                  <c:v>870698.38326762372</c:v>
                </c:pt>
                <c:pt idx="447">
                  <c:v>862210.4290124228</c:v>
                </c:pt>
                <c:pt idx="448">
                  <c:v>862494.77278367488</c:v>
                </c:pt>
                <c:pt idx="449">
                  <c:v>864275.74382762925</c:v>
                </c:pt>
                <c:pt idx="450">
                  <c:v>874166.39715740492</c:v>
                </c:pt>
                <c:pt idx="451">
                  <c:v>878358.73048323963</c:v>
                </c:pt>
                <c:pt idx="452">
                  <c:v>881683.38191929751</c:v>
                </c:pt>
                <c:pt idx="453">
                  <c:v>875520.50903251499</c:v>
                </c:pt>
                <c:pt idx="454">
                  <c:v>873037.04492583091</c:v>
                </c:pt>
                <c:pt idx="455">
                  <c:v>866338.49511213845</c:v>
                </c:pt>
                <c:pt idx="456">
                  <c:v>857282.14308289986</c:v>
                </c:pt>
                <c:pt idx="457">
                  <c:v>851923.68317006924</c:v>
                </c:pt>
                <c:pt idx="458">
                  <c:v>841663.39622985793</c:v>
                </c:pt>
                <c:pt idx="459">
                  <c:v>843115.33466713887</c:v>
                </c:pt>
                <c:pt idx="460">
                  <c:v>845945.67107928882</c:v>
                </c:pt>
                <c:pt idx="461">
                  <c:v>846097.15024947957</c:v>
                </c:pt>
                <c:pt idx="462">
                  <c:v>836734.15990531235</c:v>
                </c:pt>
                <c:pt idx="463">
                  <c:v>833276.97216080595</c:v>
                </c:pt>
                <c:pt idx="464">
                  <c:v>831600.2431009392</c:v>
                </c:pt>
                <c:pt idx="465">
                  <c:v>837207.98612166499</c:v>
                </c:pt>
                <c:pt idx="466">
                  <c:v>831253.10145510815</c:v>
                </c:pt>
                <c:pt idx="467">
                  <c:v>825272.56993094145</c:v>
                </c:pt>
                <c:pt idx="468">
                  <c:v>828850.26673108409</c:v>
                </c:pt>
                <c:pt idx="469">
                  <c:v>841405.77177982999</c:v>
                </c:pt>
                <c:pt idx="470">
                  <c:v>837817.83044426527</c:v>
                </c:pt>
                <c:pt idx="471">
                  <c:v>838279.92978148919</c:v>
                </c:pt>
                <c:pt idx="472">
                  <c:v>829666.6830413196</c:v>
                </c:pt>
                <c:pt idx="473">
                  <c:v>833617.86059891328</c:v>
                </c:pt>
                <c:pt idx="474">
                  <c:v>838553.62837133289</c:v>
                </c:pt>
                <c:pt idx="475">
                  <c:v>837105.8692794065</c:v>
                </c:pt>
                <c:pt idx="476">
                  <c:v>833244.09949457285</c:v>
                </c:pt>
                <c:pt idx="477">
                  <c:v>828011.62012651667</c:v>
                </c:pt>
                <c:pt idx="478">
                  <c:v>841180.48944672639</c:v>
                </c:pt>
                <c:pt idx="479">
                  <c:v>847646.01242919383</c:v>
                </c:pt>
                <c:pt idx="480">
                  <c:v>849781.85736844677</c:v>
                </c:pt>
                <c:pt idx="481">
                  <c:v>848840.69784445828</c:v>
                </c:pt>
                <c:pt idx="482">
                  <c:v>846551.17732313636</c:v>
                </c:pt>
                <c:pt idx="483">
                  <c:v>851703.50540512567</c:v>
                </c:pt>
                <c:pt idx="484">
                  <c:v>846473.88433038793</c:v>
                </c:pt>
                <c:pt idx="485">
                  <c:v>855453.01103012217</c:v>
                </c:pt>
                <c:pt idx="486">
                  <c:v>850582.15767731599</c:v>
                </c:pt>
                <c:pt idx="487">
                  <c:v>845967.63463415718</c:v>
                </c:pt>
                <c:pt idx="488">
                  <c:v>836195.25542280148</c:v>
                </c:pt>
                <c:pt idx="489">
                  <c:v>833886.54421340418</c:v>
                </c:pt>
                <c:pt idx="490">
                  <c:v>840918.25757632952</c:v>
                </c:pt>
                <c:pt idx="491">
                  <c:v>837183.80132094969</c:v>
                </c:pt>
                <c:pt idx="492">
                  <c:v>834845.31867645367</c:v>
                </c:pt>
                <c:pt idx="493">
                  <c:v>837035.50306046149</c:v>
                </c:pt>
                <c:pt idx="494">
                  <c:v>837079.14712211234</c:v>
                </c:pt>
                <c:pt idx="495">
                  <c:v>831763.65443918377</c:v>
                </c:pt>
                <c:pt idx="496">
                  <c:v>831153.91003054823</c:v>
                </c:pt>
                <c:pt idx="497">
                  <c:v>829176.34525062225</c:v>
                </c:pt>
                <c:pt idx="498">
                  <c:v>826825.37947512767</c:v>
                </c:pt>
                <c:pt idx="499">
                  <c:v>816524.41950379428</c:v>
                </c:pt>
                <c:pt idx="500">
                  <c:v>823548.97121250269</c:v>
                </c:pt>
                <c:pt idx="501">
                  <c:v>821714.3587415223</c:v>
                </c:pt>
                <c:pt idx="502">
                  <c:v>824614.30047282903</c:v>
                </c:pt>
                <c:pt idx="503">
                  <c:v>832140.05397815828</c:v>
                </c:pt>
                <c:pt idx="504">
                  <c:v>837706.77195340057</c:v>
                </c:pt>
                <c:pt idx="505">
                  <c:v>839005.06229745178</c:v>
                </c:pt>
                <c:pt idx="506">
                  <c:v>833558.44459802064</c:v>
                </c:pt>
                <c:pt idx="507">
                  <c:v>842823.40511579986</c:v>
                </c:pt>
                <c:pt idx="508">
                  <c:v>834195.7897651809</c:v>
                </c:pt>
                <c:pt idx="509">
                  <c:v>828409.75264237227</c:v>
                </c:pt>
                <c:pt idx="510">
                  <c:v>836661.23359619605</c:v>
                </c:pt>
                <c:pt idx="511">
                  <c:v>830286.44428331999</c:v>
                </c:pt>
                <c:pt idx="512">
                  <c:v>839542.20808398793</c:v>
                </c:pt>
                <c:pt idx="513">
                  <c:v>838512.43171011913</c:v>
                </c:pt>
                <c:pt idx="514">
                  <c:v>839858.57935533556</c:v>
                </c:pt>
                <c:pt idx="515">
                  <c:v>830300.38988478016</c:v>
                </c:pt>
                <c:pt idx="516">
                  <c:v>822229.37581067265</c:v>
                </c:pt>
                <c:pt idx="517">
                  <c:v>823804.04955038894</c:v>
                </c:pt>
                <c:pt idx="518">
                  <c:v>824457.94946890161</c:v>
                </c:pt>
                <c:pt idx="519">
                  <c:v>826950.87280948611</c:v>
                </c:pt>
                <c:pt idx="520">
                  <c:v>818796.30265459756</c:v>
                </c:pt>
                <c:pt idx="521">
                  <c:v>814797.9903516433</c:v>
                </c:pt>
                <c:pt idx="522">
                  <c:v>813022.88292946946</c:v>
                </c:pt>
                <c:pt idx="523">
                  <c:v>815796.62144221016</c:v>
                </c:pt>
                <c:pt idx="524">
                  <c:v>817419.56700208841</c:v>
                </c:pt>
                <c:pt idx="525">
                  <c:v>829279.59159959608</c:v>
                </c:pt>
                <c:pt idx="526">
                  <c:v>833360.0457278206</c:v>
                </c:pt>
                <c:pt idx="527">
                  <c:v>830310.25973487308</c:v>
                </c:pt>
                <c:pt idx="528">
                  <c:v>841795.26272125484</c:v>
                </c:pt>
                <c:pt idx="529">
                  <c:v>854649.81191804691</c:v>
                </c:pt>
                <c:pt idx="530">
                  <c:v>864730.00435414631</c:v>
                </c:pt>
                <c:pt idx="531">
                  <c:v>853242.44413543411</c:v>
                </c:pt>
                <c:pt idx="532">
                  <c:v>849611.20242508</c:v>
                </c:pt>
                <c:pt idx="533">
                  <c:v>844259.90205460903</c:v>
                </c:pt>
                <c:pt idx="534">
                  <c:v>832053.32838054874</c:v>
                </c:pt>
                <c:pt idx="535">
                  <c:v>829731.87402390782</c:v>
                </c:pt>
                <c:pt idx="536">
                  <c:v>827480.25379003654</c:v>
                </c:pt>
                <c:pt idx="537">
                  <c:v>826083.50072532846</c:v>
                </c:pt>
                <c:pt idx="538">
                  <c:v>825361.82945376763</c:v>
                </c:pt>
                <c:pt idx="539">
                  <c:v>828293.46565326047</c:v>
                </c:pt>
                <c:pt idx="540">
                  <c:v>816983.42827817146</c:v>
                </c:pt>
                <c:pt idx="541">
                  <c:v>817551.24355295347</c:v>
                </c:pt>
                <c:pt idx="542">
                  <c:v>811170.50543075218</c:v>
                </c:pt>
                <c:pt idx="543">
                  <c:v>810102.13750411582</c:v>
                </c:pt>
                <c:pt idx="544">
                  <c:v>804215.31859468005</c:v>
                </c:pt>
                <c:pt idx="545">
                  <c:v>804668.71763861307</c:v>
                </c:pt>
                <c:pt idx="546">
                  <c:v>800885.21238804096</c:v>
                </c:pt>
                <c:pt idx="547">
                  <c:v>800993.24569420028</c:v>
                </c:pt>
                <c:pt idx="548">
                  <c:v>796299.0962675662</c:v>
                </c:pt>
                <c:pt idx="549">
                  <c:v>796540.79582754313</c:v>
                </c:pt>
                <c:pt idx="550">
                  <c:v>798701.54293200246</c:v>
                </c:pt>
                <c:pt idx="551">
                  <c:v>796694.08317564393</c:v>
                </c:pt>
                <c:pt idx="552">
                  <c:v>804200.17759743251</c:v>
                </c:pt>
                <c:pt idx="553">
                  <c:v>799481.75142778573</c:v>
                </c:pt>
                <c:pt idx="554">
                  <c:v>802150.86369378783</c:v>
                </c:pt>
                <c:pt idx="555">
                  <c:v>807086.99666019483</c:v>
                </c:pt>
                <c:pt idx="556">
                  <c:v>806136.00903163827</c:v>
                </c:pt>
                <c:pt idx="557">
                  <c:v>813063.85843149037</c:v>
                </c:pt>
                <c:pt idx="558">
                  <c:v>804924.95446994877</c:v>
                </c:pt>
                <c:pt idx="559">
                  <c:v>801811.05314847524</c:v>
                </c:pt>
                <c:pt idx="560">
                  <c:v>806215.40289131389</c:v>
                </c:pt>
                <c:pt idx="561">
                  <c:v>806382.04497632745</c:v>
                </c:pt>
                <c:pt idx="562">
                  <c:v>803390.82646935002</c:v>
                </c:pt>
                <c:pt idx="563">
                  <c:v>805229.46260951879</c:v>
                </c:pt>
                <c:pt idx="564">
                  <c:v>803166.18163665209</c:v>
                </c:pt>
                <c:pt idx="565">
                  <c:v>797810.1225398049</c:v>
                </c:pt>
                <c:pt idx="566">
                  <c:v>793127.38211591798</c:v>
                </c:pt>
                <c:pt idx="567">
                  <c:v>799332.26543467853</c:v>
                </c:pt>
                <c:pt idx="568">
                  <c:v>792850.80424857978</c:v>
                </c:pt>
                <c:pt idx="569">
                  <c:v>790909.38512764964</c:v>
                </c:pt>
                <c:pt idx="570">
                  <c:v>789632.97145360778</c:v>
                </c:pt>
                <c:pt idx="571">
                  <c:v>790152.64982075884</c:v>
                </c:pt>
                <c:pt idx="572">
                  <c:v>790639.19831002562</c:v>
                </c:pt>
                <c:pt idx="573">
                  <c:v>790982.63952859037</c:v>
                </c:pt>
                <c:pt idx="574">
                  <c:v>785657.52750676742</c:v>
                </c:pt>
                <c:pt idx="575">
                  <c:v>783523.42453766556</c:v>
                </c:pt>
                <c:pt idx="576">
                  <c:v>786935.45526604913</c:v>
                </c:pt>
                <c:pt idx="577">
                  <c:v>788873.16445260204</c:v>
                </c:pt>
                <c:pt idx="578">
                  <c:v>785584.38917138358</c:v>
                </c:pt>
                <c:pt idx="579">
                  <c:v>785449.30760706821</c:v>
                </c:pt>
                <c:pt idx="580">
                  <c:v>782549.11747544969</c:v>
                </c:pt>
                <c:pt idx="581">
                  <c:v>782114.4703888878</c:v>
                </c:pt>
                <c:pt idx="582">
                  <c:v>784548.04089398275</c:v>
                </c:pt>
                <c:pt idx="583">
                  <c:v>789335.61798920995</c:v>
                </c:pt>
                <c:pt idx="584">
                  <c:v>791067.20985255053</c:v>
                </c:pt>
                <c:pt idx="585">
                  <c:v>789688.28127917706</c:v>
                </c:pt>
                <c:pt idx="586">
                  <c:v>785758.52436610672</c:v>
                </c:pt>
                <c:pt idx="587">
                  <c:v>784530.58584910759</c:v>
                </c:pt>
                <c:pt idx="588">
                  <c:v>781003.58007046743</c:v>
                </c:pt>
                <c:pt idx="589">
                  <c:v>774489.91673818068</c:v>
                </c:pt>
                <c:pt idx="590">
                  <c:v>770585.27814684098</c:v>
                </c:pt>
                <c:pt idx="591">
                  <c:v>766892.15888348699</c:v>
                </c:pt>
                <c:pt idx="592">
                  <c:v>762408.98295590119</c:v>
                </c:pt>
                <c:pt idx="593">
                  <c:v>759623.76049609948</c:v>
                </c:pt>
                <c:pt idx="594">
                  <c:v>778417.34498072346</c:v>
                </c:pt>
                <c:pt idx="595">
                  <c:v>777470.38448608643</c:v>
                </c:pt>
                <c:pt idx="596">
                  <c:v>772143.0418779162</c:v>
                </c:pt>
                <c:pt idx="597">
                  <c:v>775922.32716319605</c:v>
                </c:pt>
                <c:pt idx="598">
                  <c:v>771609.28887966287</c:v>
                </c:pt>
                <c:pt idx="599">
                  <c:v>764045.77853273659</c:v>
                </c:pt>
                <c:pt idx="600">
                  <c:v>761421.57670783682</c:v>
                </c:pt>
                <c:pt idx="601">
                  <c:v>759578.23783905955</c:v>
                </c:pt>
                <c:pt idx="602">
                  <c:v>760464.44123634871</c:v>
                </c:pt>
                <c:pt idx="603">
                  <c:v>769201.95868143509</c:v>
                </c:pt>
                <c:pt idx="604">
                  <c:v>766075.11183937953</c:v>
                </c:pt>
                <c:pt idx="605">
                  <c:v>761880.91769788158</c:v>
                </c:pt>
                <c:pt idx="606">
                  <c:v>765775.23300984153</c:v>
                </c:pt>
                <c:pt idx="607">
                  <c:v>766624.85209835868</c:v>
                </c:pt>
                <c:pt idx="608">
                  <c:v>760982.84342737834</c:v>
                </c:pt>
                <c:pt idx="609">
                  <c:v>752871.56778082717</c:v>
                </c:pt>
                <c:pt idx="610">
                  <c:v>753863.60929651849</c:v>
                </c:pt>
                <c:pt idx="611">
                  <c:v>762380.30494083813</c:v>
                </c:pt>
                <c:pt idx="612">
                  <c:v>764750.06155342713</c:v>
                </c:pt>
                <c:pt idx="613">
                  <c:v>770916.46366161667</c:v>
                </c:pt>
                <c:pt idx="614">
                  <c:v>766166.18845188979</c:v>
                </c:pt>
                <c:pt idx="615">
                  <c:v>766954.90400314843</c:v>
                </c:pt>
                <c:pt idx="616">
                  <c:v>774997.86212951213</c:v>
                </c:pt>
                <c:pt idx="617">
                  <c:v>779952.83656291279</c:v>
                </c:pt>
                <c:pt idx="618">
                  <c:v>779406.05006983853</c:v>
                </c:pt>
                <c:pt idx="619">
                  <c:v>771753.44315275794</c:v>
                </c:pt>
                <c:pt idx="620">
                  <c:v>770077.31112703704</c:v>
                </c:pt>
                <c:pt idx="621">
                  <c:v>763267.63013372524</c:v>
                </c:pt>
                <c:pt idx="622">
                  <c:v>758085.73484070972</c:v>
                </c:pt>
                <c:pt idx="623">
                  <c:v>754269.07076998113</c:v>
                </c:pt>
                <c:pt idx="624">
                  <c:v>746988.00960133504</c:v>
                </c:pt>
                <c:pt idx="625">
                  <c:v>750068.65892378206</c:v>
                </c:pt>
                <c:pt idx="626">
                  <c:v>741077.02199910267</c:v>
                </c:pt>
                <c:pt idx="627">
                  <c:v>736532.40366695798</c:v>
                </c:pt>
                <c:pt idx="628">
                  <c:v>731458.94067637878</c:v>
                </c:pt>
                <c:pt idx="629">
                  <c:v>729285.67318995809</c:v>
                </c:pt>
                <c:pt idx="630">
                  <c:v>728729.32825725595</c:v>
                </c:pt>
                <c:pt idx="631">
                  <c:v>732554.99483525986</c:v>
                </c:pt>
                <c:pt idx="632">
                  <c:v>730905.21963316377</c:v>
                </c:pt>
                <c:pt idx="633">
                  <c:v>726271.04508655285</c:v>
                </c:pt>
                <c:pt idx="634">
                  <c:v>723837.24311989185</c:v>
                </c:pt>
                <c:pt idx="635">
                  <c:v>719829.92039685452</c:v>
                </c:pt>
                <c:pt idx="636">
                  <c:v>728971.70893085492</c:v>
                </c:pt>
                <c:pt idx="637">
                  <c:v>728847.24468828202</c:v>
                </c:pt>
                <c:pt idx="638">
                  <c:v>736008.44045346032</c:v>
                </c:pt>
                <c:pt idx="639">
                  <c:v>728000.88049597398</c:v>
                </c:pt>
                <c:pt idx="640">
                  <c:v>726260.09315581631</c:v>
                </c:pt>
                <c:pt idx="641">
                  <c:v>723114.97472237726</c:v>
                </c:pt>
                <c:pt idx="642">
                  <c:v>727717.7355098679</c:v>
                </c:pt>
                <c:pt idx="643">
                  <c:v>726403.49906056887</c:v>
                </c:pt>
                <c:pt idx="644">
                  <c:v>742628.23212549521</c:v>
                </c:pt>
                <c:pt idx="645">
                  <c:v>746966.68128016335</c:v>
                </c:pt>
                <c:pt idx="646">
                  <c:v>742654.8014282739</c:v>
                </c:pt>
                <c:pt idx="647">
                  <c:v>740139.62539586297</c:v>
                </c:pt>
                <c:pt idx="648">
                  <c:v>737323.43287792674</c:v>
                </c:pt>
                <c:pt idx="649">
                  <c:v>733438.56704737467</c:v>
                </c:pt>
                <c:pt idx="650">
                  <c:v>730043.64751944272</c:v>
                </c:pt>
                <c:pt idx="651">
                  <c:v>724725.22601216962</c:v>
                </c:pt>
                <c:pt idx="652">
                  <c:v>722347.73144897784</c:v>
                </c:pt>
                <c:pt idx="653">
                  <c:v>726402.21711812017</c:v>
                </c:pt>
                <c:pt idx="654">
                  <c:v>713949.63824327372</c:v>
                </c:pt>
                <c:pt idx="655">
                  <c:v>720378.46919296193</c:v>
                </c:pt>
                <c:pt idx="656">
                  <c:v>732541.01795466617</c:v>
                </c:pt>
                <c:pt idx="657">
                  <c:v>732106.39822943415</c:v>
                </c:pt>
                <c:pt idx="658">
                  <c:v>725880.60754067777</c:v>
                </c:pt>
                <c:pt idx="659">
                  <c:v>723523.63512874977</c:v>
                </c:pt>
                <c:pt idx="660">
                  <c:v>717757.69824633736</c:v>
                </c:pt>
                <c:pt idx="661">
                  <c:v>715604.25971881521</c:v>
                </c:pt>
                <c:pt idx="662">
                  <c:v>713298.94240256061</c:v>
                </c:pt>
                <c:pt idx="663">
                  <c:v>707030.6925454241</c:v>
                </c:pt>
                <c:pt idx="664">
                  <c:v>705382.38162818446</c:v>
                </c:pt>
                <c:pt idx="665">
                  <c:v>705698.89982718497</c:v>
                </c:pt>
                <c:pt idx="666">
                  <c:v>700366.02755513682</c:v>
                </c:pt>
                <c:pt idx="667">
                  <c:v>693712.22226860258</c:v>
                </c:pt>
                <c:pt idx="668">
                  <c:v>692658.18720024684</c:v>
                </c:pt>
                <c:pt idx="669">
                  <c:v>686931.67667882156</c:v>
                </c:pt>
                <c:pt idx="670">
                  <c:v>694176.14477270271</c:v>
                </c:pt>
                <c:pt idx="671">
                  <c:v>688797.04898358113</c:v>
                </c:pt>
                <c:pt idx="672">
                  <c:v>693706.73296017037</c:v>
                </c:pt>
                <c:pt idx="673">
                  <c:v>701732.22870591306</c:v>
                </c:pt>
                <c:pt idx="674">
                  <c:v>699387.07082586677</c:v>
                </c:pt>
                <c:pt idx="675">
                  <c:v>698559.43649068079</c:v>
                </c:pt>
                <c:pt idx="676">
                  <c:v>707300.19200732978</c:v>
                </c:pt>
                <c:pt idx="677">
                  <c:v>714938.52065533085</c:v>
                </c:pt>
                <c:pt idx="678">
                  <c:v>704188.98551820125</c:v>
                </c:pt>
                <c:pt idx="679">
                  <c:v>707622.08823441144</c:v>
                </c:pt>
                <c:pt idx="680">
                  <c:v>708124.86896551761</c:v>
                </c:pt>
                <c:pt idx="681">
                  <c:v>705631.54230103444</c:v>
                </c:pt>
                <c:pt idx="682">
                  <c:v>703946.66717094905</c:v>
                </c:pt>
                <c:pt idx="683">
                  <c:v>708592.50308477005</c:v>
                </c:pt>
                <c:pt idx="684">
                  <c:v>705259.08088241227</c:v>
                </c:pt>
                <c:pt idx="685">
                  <c:v>707001.01548744424</c:v>
                </c:pt>
                <c:pt idx="686">
                  <c:v>707971.46319884784</c:v>
                </c:pt>
                <c:pt idx="687">
                  <c:v>708313.71391021204</c:v>
                </c:pt>
                <c:pt idx="688">
                  <c:v>707863.83990524139</c:v>
                </c:pt>
                <c:pt idx="689">
                  <c:v>707453.24333909631</c:v>
                </c:pt>
                <c:pt idx="690">
                  <c:v>709470.70727559412</c:v>
                </c:pt>
                <c:pt idx="691">
                  <c:v>703486.91325785592</c:v>
                </c:pt>
                <c:pt idx="692">
                  <c:v>703118.9708225301</c:v>
                </c:pt>
                <c:pt idx="693">
                  <c:v>696093.62346125848</c:v>
                </c:pt>
                <c:pt idx="694">
                  <c:v>693206.75451164937</c:v>
                </c:pt>
                <c:pt idx="695">
                  <c:v>693468.24919189746</c:v>
                </c:pt>
                <c:pt idx="696">
                  <c:v>689625.12496253185</c:v>
                </c:pt>
                <c:pt idx="697">
                  <c:v>685373.91490627965</c:v>
                </c:pt>
                <c:pt idx="698">
                  <c:v>683920.69894370984</c:v>
                </c:pt>
                <c:pt idx="699">
                  <c:v>679227.41756429081</c:v>
                </c:pt>
                <c:pt idx="700">
                  <c:v>680084.93685330451</c:v>
                </c:pt>
                <c:pt idx="701">
                  <c:v>678725.21215560101</c:v>
                </c:pt>
                <c:pt idx="702">
                  <c:v>681047.55544608645</c:v>
                </c:pt>
                <c:pt idx="703">
                  <c:v>682219.85870602459</c:v>
                </c:pt>
                <c:pt idx="704">
                  <c:v>674976.80487327359</c:v>
                </c:pt>
                <c:pt idx="705">
                  <c:v>680208.45607304992</c:v>
                </c:pt>
                <c:pt idx="706">
                  <c:v>680651.30558420264</c:v>
                </c:pt>
                <c:pt idx="707">
                  <c:v>672856.59666111309</c:v>
                </c:pt>
                <c:pt idx="708">
                  <c:v>664653.13442151027</c:v>
                </c:pt>
                <c:pt idx="709">
                  <c:v>659119.84912327304</c:v>
                </c:pt>
                <c:pt idx="710">
                  <c:v>667665.51711728214</c:v>
                </c:pt>
                <c:pt idx="711">
                  <c:v>671715.86364238011</c:v>
                </c:pt>
                <c:pt idx="712">
                  <c:v>669242.45406599785</c:v>
                </c:pt>
                <c:pt idx="713">
                  <c:v>671664.06204208569</c:v>
                </c:pt>
                <c:pt idx="714">
                  <c:v>681823.34164139058</c:v>
                </c:pt>
                <c:pt idx="715">
                  <c:v>686763.80263552594</c:v>
                </c:pt>
                <c:pt idx="716">
                  <c:v>680157.64172585076</c:v>
                </c:pt>
                <c:pt idx="717">
                  <c:v>680722.47117181576</c:v>
                </c:pt>
                <c:pt idx="718">
                  <c:v>673943.14868170081</c:v>
                </c:pt>
                <c:pt idx="719">
                  <c:v>675507.25268041575</c:v>
                </c:pt>
                <c:pt idx="720">
                  <c:v>682378.71461259539</c:v>
                </c:pt>
                <c:pt idx="721">
                  <c:v>690779.62512463087</c:v>
                </c:pt>
                <c:pt idx="722">
                  <c:v>712229.35662813263</c:v>
                </c:pt>
                <c:pt idx="723">
                  <c:v>708803.10976408666</c:v>
                </c:pt>
                <c:pt idx="724">
                  <c:v>707312.888624602</c:v>
                </c:pt>
                <c:pt idx="725">
                  <c:v>697884.24512258533</c:v>
                </c:pt>
                <c:pt idx="726">
                  <c:v>694909.62415485363</c:v>
                </c:pt>
                <c:pt idx="727">
                  <c:v>693775.27346385457</c:v>
                </c:pt>
                <c:pt idx="728">
                  <c:v>687786.51483086683</c:v>
                </c:pt>
                <c:pt idx="729">
                  <c:v>686054.17492762674</c:v>
                </c:pt>
                <c:pt idx="730">
                  <c:v>681975.9722747074</c:v>
                </c:pt>
                <c:pt idx="731">
                  <c:v>680983.77717430878</c:v>
                </c:pt>
                <c:pt idx="732">
                  <c:v>675354.06980649615</c:v>
                </c:pt>
                <c:pt idx="733">
                  <c:v>678705.01673501846</c:v>
                </c:pt>
                <c:pt idx="734">
                  <c:v>681427.42043282534</c:v>
                </c:pt>
                <c:pt idx="735">
                  <c:v>683473.34123350226</c:v>
                </c:pt>
                <c:pt idx="736">
                  <c:v>677286.88153048523</c:v>
                </c:pt>
                <c:pt idx="737">
                  <c:v>673969.91643499653</c:v>
                </c:pt>
                <c:pt idx="738">
                  <c:v>675695.79218764778</c:v>
                </c:pt>
                <c:pt idx="739">
                  <c:v>678658.30250002944</c:v>
                </c:pt>
                <c:pt idx="740">
                  <c:v>675618.59960100555</c:v>
                </c:pt>
                <c:pt idx="741">
                  <c:v>671966.49699513591</c:v>
                </c:pt>
                <c:pt idx="742">
                  <c:v>683355.55520133942</c:v>
                </c:pt>
                <c:pt idx="743">
                  <c:v>685384.37696024415</c:v>
                </c:pt>
                <c:pt idx="744">
                  <c:v>689020.63388162921</c:v>
                </c:pt>
                <c:pt idx="745">
                  <c:v>700760.67504160537</c:v>
                </c:pt>
                <c:pt idx="746">
                  <c:v>696224.9059725001</c:v>
                </c:pt>
                <c:pt idx="747">
                  <c:v>705163.7230582895</c:v>
                </c:pt>
                <c:pt idx="748">
                  <c:v>702375.15330974152</c:v>
                </c:pt>
                <c:pt idx="749">
                  <c:v>696714.19500106561</c:v>
                </c:pt>
                <c:pt idx="750">
                  <c:v>693370.91053281468</c:v>
                </c:pt>
                <c:pt idx="751">
                  <c:v>689043.6497731905</c:v>
                </c:pt>
                <c:pt idx="752">
                  <c:v>686725.92819411214</c:v>
                </c:pt>
                <c:pt idx="753">
                  <c:v>687701.7708474485</c:v>
                </c:pt>
                <c:pt idx="754">
                  <c:v>680501.24720271036</c:v>
                </c:pt>
                <c:pt idx="755">
                  <c:v>681326.54765784496</c:v>
                </c:pt>
                <c:pt idx="756">
                  <c:v>681076.50087880867</c:v>
                </c:pt>
                <c:pt idx="757">
                  <c:v>681918.20406348503</c:v>
                </c:pt>
                <c:pt idx="758">
                  <c:v>685017.75810574682</c:v>
                </c:pt>
                <c:pt idx="759">
                  <c:v>687239.91979630175</c:v>
                </c:pt>
                <c:pt idx="760">
                  <c:v>681562.49728361028</c:v>
                </c:pt>
                <c:pt idx="761">
                  <c:v>676762.15522335167</c:v>
                </c:pt>
                <c:pt idx="762">
                  <c:v>678688.25810480735</c:v>
                </c:pt>
                <c:pt idx="763">
                  <c:v>676764.89866708242</c:v>
                </c:pt>
                <c:pt idx="764">
                  <c:v>677050.97980637022</c:v>
                </c:pt>
                <c:pt idx="765">
                  <c:v>669494.54953389941</c:v>
                </c:pt>
                <c:pt idx="766">
                  <c:v>676341.20668654109</c:v>
                </c:pt>
                <c:pt idx="767">
                  <c:v>677782.60962466348</c:v>
                </c:pt>
                <c:pt idx="768">
                  <c:v>675030.68533250876</c:v>
                </c:pt>
                <c:pt idx="769">
                  <c:v>673120.33643670566</c:v>
                </c:pt>
                <c:pt idx="770">
                  <c:v>665698.36116733751</c:v>
                </c:pt>
                <c:pt idx="771">
                  <c:v>661779.96986166132</c:v>
                </c:pt>
                <c:pt idx="772">
                  <c:v>676748.23007844889</c:v>
                </c:pt>
                <c:pt idx="773">
                  <c:v>673177.30007821484</c:v>
                </c:pt>
                <c:pt idx="774">
                  <c:v>675973.36760178511</c:v>
                </c:pt>
                <c:pt idx="775">
                  <c:v>674062.66503141087</c:v>
                </c:pt>
                <c:pt idx="776">
                  <c:v>674237.38927843072</c:v>
                </c:pt>
                <c:pt idx="777">
                  <c:v>669629.34713387396</c:v>
                </c:pt>
                <c:pt idx="778">
                  <c:v>674640.66233806324</c:v>
                </c:pt>
                <c:pt idx="779">
                  <c:v>675384.70788725407</c:v>
                </c:pt>
                <c:pt idx="780">
                  <c:v>673070.58903588762</c:v>
                </c:pt>
                <c:pt idx="781">
                  <c:v>670987.45685202943</c:v>
                </c:pt>
                <c:pt idx="782">
                  <c:v>671143.44960229623</c:v>
                </c:pt>
                <c:pt idx="783">
                  <c:v>666863.65266313287</c:v>
                </c:pt>
                <c:pt idx="784">
                  <c:v>679093.57230282889</c:v>
                </c:pt>
                <c:pt idx="785">
                  <c:v>678436.61736951664</c:v>
                </c:pt>
                <c:pt idx="786">
                  <c:v>680853.24198378786</c:v>
                </c:pt>
                <c:pt idx="787">
                  <c:v>675780.10577864188</c:v>
                </c:pt>
                <c:pt idx="788">
                  <c:v>644809.54795385897</c:v>
                </c:pt>
                <c:pt idx="789">
                  <c:v>643996.83954378718</c:v>
                </c:pt>
                <c:pt idx="790">
                  <c:v>644158.43119388632</c:v>
                </c:pt>
                <c:pt idx="791">
                  <c:v>641625.98265421984</c:v>
                </c:pt>
                <c:pt idx="792">
                  <c:v>641397.52688009688</c:v>
                </c:pt>
                <c:pt idx="793">
                  <c:v>642538.61300438968</c:v>
                </c:pt>
                <c:pt idx="794">
                  <c:v>646738.98491918214</c:v>
                </c:pt>
                <c:pt idx="795">
                  <c:v>652502.9396236348</c:v>
                </c:pt>
                <c:pt idx="796">
                  <c:v>649805.73911460023</c:v>
                </c:pt>
                <c:pt idx="797">
                  <c:v>652843.08519308351</c:v>
                </c:pt>
                <c:pt idx="798">
                  <c:v>649461.39356231596</c:v>
                </c:pt>
                <c:pt idx="799">
                  <c:v>653326.29609047424</c:v>
                </c:pt>
                <c:pt idx="800">
                  <c:v>653924.74972174095</c:v>
                </c:pt>
                <c:pt idx="801">
                  <c:v>648957.62427258654</c:v>
                </c:pt>
                <c:pt idx="802">
                  <c:v>647196.95776303811</c:v>
                </c:pt>
                <c:pt idx="803">
                  <c:v>648744.89213664865</c:v>
                </c:pt>
                <c:pt idx="804">
                  <c:v>648130.83768070838</c:v>
                </c:pt>
                <c:pt idx="805">
                  <c:v>646264.18177592382</c:v>
                </c:pt>
                <c:pt idx="806">
                  <c:v>647959.86633117078</c:v>
                </c:pt>
                <c:pt idx="807">
                  <c:v>647283.66762067727</c:v>
                </c:pt>
                <c:pt idx="808">
                  <c:v>652511.17430459918</c:v>
                </c:pt>
                <c:pt idx="809">
                  <c:v>658065.70368736924</c:v>
                </c:pt>
                <c:pt idx="810">
                  <c:v>656313.80869119405</c:v>
                </c:pt>
                <c:pt idx="811">
                  <c:v>649884.22290412313</c:v>
                </c:pt>
                <c:pt idx="812">
                  <c:v>649673.17897462624</c:v>
                </c:pt>
                <c:pt idx="813">
                  <c:v>657501.22040632914</c:v>
                </c:pt>
                <c:pt idx="814">
                  <c:v>660498.09849054681</c:v>
                </c:pt>
                <c:pt idx="815">
                  <c:v>663547.94712944084</c:v>
                </c:pt>
                <c:pt idx="816">
                  <c:v>668339.55056908564</c:v>
                </c:pt>
                <c:pt idx="817">
                  <c:v>681378.58637444337</c:v>
                </c:pt>
                <c:pt idx="818">
                  <c:v>683988.76161577948</c:v>
                </c:pt>
                <c:pt idx="819">
                  <c:v>675937.81744028861</c:v>
                </c:pt>
                <c:pt idx="820">
                  <c:v>671465.96378131909</c:v>
                </c:pt>
                <c:pt idx="821">
                  <c:v>666974.72113234957</c:v>
                </c:pt>
                <c:pt idx="822">
                  <c:v>665798.44495487912</c:v>
                </c:pt>
                <c:pt idx="823">
                  <c:v>671511.55993808294</c:v>
                </c:pt>
                <c:pt idx="824">
                  <c:v>676911.68104860047</c:v>
                </c:pt>
                <c:pt idx="825">
                  <c:v>677388.65640541841</c:v>
                </c:pt>
                <c:pt idx="826">
                  <c:v>678765.95404435857</c:v>
                </c:pt>
                <c:pt idx="827">
                  <c:v>670795.62387484359</c:v>
                </c:pt>
                <c:pt idx="828">
                  <c:v>666560.25859327009</c:v>
                </c:pt>
                <c:pt idx="829">
                  <c:v>666563.9987963686</c:v>
                </c:pt>
                <c:pt idx="830">
                  <c:v>666613.86959604628</c:v>
                </c:pt>
                <c:pt idx="831">
                  <c:v>673011.66411398724</c:v>
                </c:pt>
                <c:pt idx="832">
                  <c:v>663434.69338694401</c:v>
                </c:pt>
                <c:pt idx="833">
                  <c:v>661977.93371418002</c:v>
                </c:pt>
                <c:pt idx="834">
                  <c:v>650061.08947465033</c:v>
                </c:pt>
                <c:pt idx="835">
                  <c:v>659976.8253826357</c:v>
                </c:pt>
                <c:pt idx="836">
                  <c:v>653076.82454674109</c:v>
                </c:pt>
                <c:pt idx="837">
                  <c:v>647173.16543615633</c:v>
                </c:pt>
                <c:pt idx="838">
                  <c:v>645533.55670647998</c:v>
                </c:pt>
                <c:pt idx="839">
                  <c:v>640951.36083135684</c:v>
                </c:pt>
                <c:pt idx="840">
                  <c:v>641921.60248832952</c:v>
                </c:pt>
                <c:pt idx="841">
                  <c:v>645500.87816028786</c:v>
                </c:pt>
                <c:pt idx="842">
                  <c:v>641707.72766978398</c:v>
                </c:pt>
                <c:pt idx="843">
                  <c:v>643625.08122080273</c:v>
                </c:pt>
                <c:pt idx="844">
                  <c:v>644998.51423594519</c:v>
                </c:pt>
                <c:pt idx="845">
                  <c:v>647471.13956113043</c:v>
                </c:pt>
                <c:pt idx="846">
                  <c:v>649145.14370357944</c:v>
                </c:pt>
                <c:pt idx="847">
                  <c:v>642165.26883157797</c:v>
                </c:pt>
                <c:pt idx="848">
                  <c:v>652236.24517456302</c:v>
                </c:pt>
                <c:pt idx="849">
                  <c:v>652371.26294989174</c:v>
                </c:pt>
                <c:pt idx="850">
                  <c:v>659410.1402037103</c:v>
                </c:pt>
                <c:pt idx="851">
                  <c:v>656097.38579764788</c:v>
                </c:pt>
                <c:pt idx="852">
                  <c:v>654321.55328270805</c:v>
                </c:pt>
                <c:pt idx="853">
                  <c:v>661769.70842017932</c:v>
                </c:pt>
                <c:pt idx="854">
                  <c:v>657171.56026201951</c:v>
                </c:pt>
                <c:pt idx="855">
                  <c:v>660163.44774561515</c:v>
                </c:pt>
                <c:pt idx="856">
                  <c:v>662967.01516748848</c:v>
                </c:pt>
                <c:pt idx="857">
                  <c:v>657709.8846878506</c:v>
                </c:pt>
                <c:pt idx="858">
                  <c:v>663927.50251346431</c:v>
                </c:pt>
                <c:pt idx="859">
                  <c:v>683231.55070785957</c:v>
                </c:pt>
                <c:pt idx="860">
                  <c:v>687231.77915742504</c:v>
                </c:pt>
                <c:pt idx="861">
                  <c:v>693776.52316966536</c:v>
                </c:pt>
                <c:pt idx="862">
                  <c:v>696935.71601597092</c:v>
                </c:pt>
                <c:pt idx="863">
                  <c:v>700494.28724049742</c:v>
                </c:pt>
                <c:pt idx="864">
                  <c:v>691116.95782114717</c:v>
                </c:pt>
                <c:pt idx="865">
                  <c:v>705908.4405041791</c:v>
                </c:pt>
                <c:pt idx="866">
                  <c:v>706529.96807607601</c:v>
                </c:pt>
                <c:pt idx="867">
                  <c:v>702123.91918944614</c:v>
                </c:pt>
                <c:pt idx="868">
                  <c:v>700751.46870283911</c:v>
                </c:pt>
                <c:pt idx="869">
                  <c:v>699840.06855790445</c:v>
                </c:pt>
                <c:pt idx="870">
                  <c:v>717083.51744318509</c:v>
                </c:pt>
                <c:pt idx="871">
                  <c:v>722253.76526428491</c:v>
                </c:pt>
                <c:pt idx="872">
                  <c:v>720842.22609720437</c:v>
                </c:pt>
                <c:pt idx="873">
                  <c:v>728630.55762630014</c:v>
                </c:pt>
                <c:pt idx="874">
                  <c:v>711689.75587933825</c:v>
                </c:pt>
                <c:pt idx="875">
                  <c:v>706474.56882354571</c:v>
                </c:pt>
                <c:pt idx="876">
                  <c:v>709752.06474831339</c:v>
                </c:pt>
                <c:pt idx="877">
                  <c:v>700926.12601882627</c:v>
                </c:pt>
                <c:pt idx="878">
                  <c:v>699458.53238905466</c:v>
                </c:pt>
                <c:pt idx="879">
                  <c:v>694332.61799297982</c:v>
                </c:pt>
                <c:pt idx="880">
                  <c:v>686776.59174118366</c:v>
                </c:pt>
                <c:pt idx="881">
                  <c:v>681936.0792202825</c:v>
                </c:pt>
                <c:pt idx="882">
                  <c:v>685151.84074613603</c:v>
                </c:pt>
                <c:pt idx="883">
                  <c:v>690030.31238526548</c:v>
                </c:pt>
                <c:pt idx="884">
                  <c:v>704500.22551118443</c:v>
                </c:pt>
                <c:pt idx="885">
                  <c:v>700600.61142990005</c:v>
                </c:pt>
                <c:pt idx="886">
                  <c:v>696921.17212225799</c:v>
                </c:pt>
                <c:pt idx="887">
                  <c:v>696148.21351657005</c:v>
                </c:pt>
                <c:pt idx="888">
                  <c:v>719073.58741324721</c:v>
                </c:pt>
                <c:pt idx="889">
                  <c:v>756430.78523836599</c:v>
                </c:pt>
                <c:pt idx="890">
                  <c:v>755306.88239854551</c:v>
                </c:pt>
                <c:pt idx="891">
                  <c:v>752664.42141392943</c:v>
                </c:pt>
                <c:pt idx="892">
                  <c:v>700524.28330170759</c:v>
                </c:pt>
                <c:pt idx="893">
                  <c:v>718229.92464908329</c:v>
                </c:pt>
                <c:pt idx="894">
                  <c:v>700452.56608094112</c:v>
                </c:pt>
                <c:pt idx="895">
                  <c:v>702485.15120189579</c:v>
                </c:pt>
                <c:pt idx="896">
                  <c:v>707894.94943877624</c:v>
                </c:pt>
                <c:pt idx="897">
                  <c:v>716368.39331899176</c:v>
                </c:pt>
                <c:pt idx="898">
                  <c:v>756127.56824290764</c:v>
                </c:pt>
                <c:pt idx="899">
                  <c:v>777795.01946760563</c:v>
                </c:pt>
                <c:pt idx="900">
                  <c:v>761348.49853157182</c:v>
                </c:pt>
                <c:pt idx="901">
                  <c:v>752163.7779760228</c:v>
                </c:pt>
                <c:pt idx="902">
                  <c:v>740703.50509436941</c:v>
                </c:pt>
                <c:pt idx="903">
                  <c:v>739254.83112386824</c:v>
                </c:pt>
                <c:pt idx="904">
                  <c:v>740402.28699507262</c:v>
                </c:pt>
                <c:pt idx="905">
                  <c:v>743160.29213735589</c:v>
                </c:pt>
                <c:pt idx="906">
                  <c:v>747007.17443983851</c:v>
                </c:pt>
                <c:pt idx="907">
                  <c:v>736548.58048394148</c:v>
                </c:pt>
                <c:pt idx="908">
                  <c:v>727153.03008334152</c:v>
                </c:pt>
                <c:pt idx="909">
                  <c:v>729042.56138120196</c:v>
                </c:pt>
                <c:pt idx="910">
                  <c:v>734627.85499901616</c:v>
                </c:pt>
                <c:pt idx="911">
                  <c:v>747456.95922974136</c:v>
                </c:pt>
                <c:pt idx="912">
                  <c:v>740674.04695916153</c:v>
                </c:pt>
                <c:pt idx="913">
                  <c:v>742408.5328199527</c:v>
                </c:pt>
                <c:pt idx="914">
                  <c:v>727808.12898546038</c:v>
                </c:pt>
                <c:pt idx="915">
                  <c:v>756340.19097168604</c:v>
                </c:pt>
                <c:pt idx="916">
                  <c:v>751255.26912839792</c:v>
                </c:pt>
                <c:pt idx="917">
                  <c:v>768089.03127810091</c:v>
                </c:pt>
                <c:pt idx="918">
                  <c:v>756923.61584695871</c:v>
                </c:pt>
                <c:pt idx="919">
                  <c:v>747561.47632032866</c:v>
                </c:pt>
                <c:pt idx="920">
                  <c:v>749204.31739208056</c:v>
                </c:pt>
                <c:pt idx="921">
                  <c:v>760712.11615842942</c:v>
                </c:pt>
                <c:pt idx="922">
                  <c:v>762349.14788908092</c:v>
                </c:pt>
                <c:pt idx="923">
                  <c:v>766577.51601211226</c:v>
                </c:pt>
                <c:pt idx="924">
                  <c:v>756063.70074910251</c:v>
                </c:pt>
                <c:pt idx="925">
                  <c:v>759189.50177816988</c:v>
                </c:pt>
                <c:pt idx="926">
                  <c:v>757797.87749908958</c:v>
                </c:pt>
                <c:pt idx="927">
                  <c:v>756268.44429556385</c:v>
                </c:pt>
                <c:pt idx="928">
                  <c:v>755285.45047802129</c:v>
                </c:pt>
                <c:pt idx="929">
                  <c:v>757295.97613047785</c:v>
                </c:pt>
                <c:pt idx="930">
                  <c:v>759141.51851154212</c:v>
                </c:pt>
                <c:pt idx="931">
                  <c:v>762108.33530523593</c:v>
                </c:pt>
                <c:pt idx="932">
                  <c:v>746982.73188133247</c:v>
                </c:pt>
                <c:pt idx="933">
                  <c:v>742465.97814637108</c:v>
                </c:pt>
                <c:pt idx="934">
                  <c:v>736520.76852466073</c:v>
                </c:pt>
                <c:pt idx="935">
                  <c:v>731255.57365318935</c:v>
                </c:pt>
                <c:pt idx="936">
                  <c:v>726453.22375537769</c:v>
                </c:pt>
                <c:pt idx="937">
                  <c:v>729520.47855029977</c:v>
                </c:pt>
                <c:pt idx="938">
                  <c:v>724874.55971658882</c:v>
                </c:pt>
                <c:pt idx="939">
                  <c:v>723821.00239880616</c:v>
                </c:pt>
                <c:pt idx="940">
                  <c:v>724824.68885215453</c:v>
                </c:pt>
                <c:pt idx="941">
                  <c:v>731546.18889077241</c:v>
                </c:pt>
                <c:pt idx="942">
                  <c:v>733043.89410949394</c:v>
                </c:pt>
                <c:pt idx="943">
                  <c:v>731088.57599084836</c:v>
                </c:pt>
                <c:pt idx="944">
                  <c:v>727358.51670352055</c:v>
                </c:pt>
                <c:pt idx="945">
                  <c:v>718652.51986457594</c:v>
                </c:pt>
                <c:pt idx="946">
                  <c:v>713682.03285004862</c:v>
                </c:pt>
                <c:pt idx="947">
                  <c:v>714527.43301112484</c:v>
                </c:pt>
                <c:pt idx="948">
                  <c:v>708070.30886010814</c:v>
                </c:pt>
                <c:pt idx="949">
                  <c:v>711597.83026078122</c:v>
                </c:pt>
                <c:pt idx="950">
                  <c:v>704181.32196851843</c:v>
                </c:pt>
                <c:pt idx="951">
                  <c:v>712247.0905743636</c:v>
                </c:pt>
                <c:pt idx="952">
                  <c:v>713483.60109691531</c:v>
                </c:pt>
                <c:pt idx="953">
                  <c:v>712257.44573757763</c:v>
                </c:pt>
                <c:pt idx="954">
                  <c:v>709767.01831011381</c:v>
                </c:pt>
                <c:pt idx="955">
                  <c:v>705121.33675294637</c:v>
                </c:pt>
                <c:pt idx="956">
                  <c:v>706756.56739390746</c:v>
                </c:pt>
                <c:pt idx="957">
                  <c:v>712254.02489739947</c:v>
                </c:pt>
                <c:pt idx="958">
                  <c:v>712414.27244637441</c:v>
                </c:pt>
                <c:pt idx="959">
                  <c:v>711153.69296863757</c:v>
                </c:pt>
                <c:pt idx="960">
                  <c:v>717659.91420254216</c:v>
                </c:pt>
                <c:pt idx="961">
                  <c:v>713884.42459252407</c:v>
                </c:pt>
                <c:pt idx="962">
                  <c:v>711957.04656400951</c:v>
                </c:pt>
                <c:pt idx="963">
                  <c:v>704656.93507683754</c:v>
                </c:pt>
                <c:pt idx="964">
                  <c:v>707910.50663156458</c:v>
                </c:pt>
                <c:pt idx="965">
                  <c:v>704664.57638075296</c:v>
                </c:pt>
                <c:pt idx="966">
                  <c:v>703752.33862393361</c:v>
                </c:pt>
                <c:pt idx="967">
                  <c:v>711593.39495524857</c:v>
                </c:pt>
                <c:pt idx="968">
                  <c:v>708182.40961582214</c:v>
                </c:pt>
                <c:pt idx="969">
                  <c:v>717535.9584101981</c:v>
                </c:pt>
                <c:pt idx="970">
                  <c:v>735353.73778615217</c:v>
                </c:pt>
                <c:pt idx="971">
                  <c:v>726440.0383088364</c:v>
                </c:pt>
                <c:pt idx="972">
                  <c:v>724702.81822407595</c:v>
                </c:pt>
                <c:pt idx="973">
                  <c:v>728506.94446172949</c:v>
                </c:pt>
                <c:pt idx="974">
                  <c:v>733004.27329367015</c:v>
                </c:pt>
                <c:pt idx="975">
                  <c:v>723387.54030571727</c:v>
                </c:pt>
                <c:pt idx="976">
                  <c:v>723842.80856902315</c:v>
                </c:pt>
                <c:pt idx="977">
                  <c:v>713001.26859666372</c:v>
                </c:pt>
                <c:pt idx="978">
                  <c:v>710155.38757768704</c:v>
                </c:pt>
                <c:pt idx="979">
                  <c:v>707673.28104624664</c:v>
                </c:pt>
                <c:pt idx="980">
                  <c:v>694143.73028492054</c:v>
                </c:pt>
                <c:pt idx="981">
                  <c:v>692439.12569577084</c:v>
                </c:pt>
                <c:pt idx="982">
                  <c:v>697202.91982245643</c:v>
                </c:pt>
                <c:pt idx="983">
                  <c:v>699757.14325781085</c:v>
                </c:pt>
                <c:pt idx="984">
                  <c:v>697490.88105376752</c:v>
                </c:pt>
                <c:pt idx="985">
                  <c:v>685704.54629066284</c:v>
                </c:pt>
                <c:pt idx="986">
                  <c:v>686158.31252409925</c:v>
                </c:pt>
                <c:pt idx="987">
                  <c:v>688292.97741831234</c:v>
                </c:pt>
                <c:pt idx="988">
                  <c:v>683370.93472495175</c:v>
                </c:pt>
                <c:pt idx="989">
                  <c:v>679082.36947935924</c:v>
                </c:pt>
                <c:pt idx="990">
                  <c:v>674466.00993893296</c:v>
                </c:pt>
                <c:pt idx="991">
                  <c:v>676657.77769910963</c:v>
                </c:pt>
                <c:pt idx="992">
                  <c:v>669108.8150270388</c:v>
                </c:pt>
                <c:pt idx="993">
                  <c:v>663926.03850457515</c:v>
                </c:pt>
                <c:pt idx="994">
                  <c:v>671883.58522033505</c:v>
                </c:pt>
                <c:pt idx="995">
                  <c:v>669317.00523331913</c:v>
                </c:pt>
                <c:pt idx="996">
                  <c:v>652310.07981962466</c:v>
                </c:pt>
                <c:pt idx="997">
                  <c:v>649160.73808594712</c:v>
                </c:pt>
                <c:pt idx="998">
                  <c:v>644125.46497120848</c:v>
                </c:pt>
                <c:pt idx="999">
                  <c:v>641459.54478575056</c:v>
                </c:pt>
                <c:pt idx="1000">
                  <c:v>634428.20736358361</c:v>
                </c:pt>
                <c:pt idx="1001">
                  <c:v>636563.72971335554</c:v>
                </c:pt>
                <c:pt idx="1002">
                  <c:v>634757.31217827403</c:v>
                </c:pt>
                <c:pt idx="1003">
                  <c:v>637375.03615287307</c:v>
                </c:pt>
                <c:pt idx="1004">
                  <c:v>633618.66521777026</c:v>
                </c:pt>
                <c:pt idx="1005">
                  <c:v>635720.40764608153</c:v>
                </c:pt>
                <c:pt idx="1006">
                  <c:v>632846.24876813858</c:v>
                </c:pt>
                <c:pt idx="1007">
                  <c:v>632500.5971720235</c:v>
                </c:pt>
                <c:pt idx="1008">
                  <c:v>635127.24742649205</c:v>
                </c:pt>
                <c:pt idx="1009">
                  <c:v>631362.35657532653</c:v>
                </c:pt>
                <c:pt idx="1010">
                  <c:v>634950.17746830673</c:v>
                </c:pt>
                <c:pt idx="1011">
                  <c:v>636345.42231413943</c:v>
                </c:pt>
                <c:pt idx="1012">
                  <c:v>636667.9208515276</c:v>
                </c:pt>
                <c:pt idx="1013">
                  <c:v>637395.45162285352</c:v>
                </c:pt>
                <c:pt idx="1014">
                  <c:v>631652.06010606943</c:v>
                </c:pt>
                <c:pt idx="1015">
                  <c:v>625610.85465669225</c:v>
                </c:pt>
                <c:pt idx="1016">
                  <c:v>627941.20813907415</c:v>
                </c:pt>
                <c:pt idx="1017">
                  <c:v>627959.96562424279</c:v>
                </c:pt>
                <c:pt idx="1018">
                  <c:v>631543.48995624459</c:v>
                </c:pt>
                <c:pt idx="1019">
                  <c:v>646147.32296158629</c:v>
                </c:pt>
                <c:pt idx="1020">
                  <c:v>635147.16263824876</c:v>
                </c:pt>
                <c:pt idx="1021">
                  <c:v>636571.52482352802</c:v>
                </c:pt>
                <c:pt idx="1022">
                  <c:v>632614.52175631549</c:v>
                </c:pt>
                <c:pt idx="1023">
                  <c:v>638584.88854484423</c:v>
                </c:pt>
                <c:pt idx="1024">
                  <c:v>635789.80595912598</c:v>
                </c:pt>
                <c:pt idx="1025">
                  <c:v>628096.01704459358</c:v>
                </c:pt>
                <c:pt idx="1026">
                  <c:v>632850.4435062682</c:v>
                </c:pt>
                <c:pt idx="1027">
                  <c:v>631970.97967591893</c:v>
                </c:pt>
                <c:pt idx="1028">
                  <c:v>630072.19524569844</c:v>
                </c:pt>
                <c:pt idx="1029">
                  <c:v>623472.33026203525</c:v>
                </c:pt>
                <c:pt idx="1030">
                  <c:v>613996.57906298363</c:v>
                </c:pt>
                <c:pt idx="1031">
                  <c:v>612290.1407622511</c:v>
                </c:pt>
                <c:pt idx="1032">
                  <c:v>612023.54827113857</c:v>
                </c:pt>
                <c:pt idx="1033">
                  <c:v>616749.30267973756</c:v>
                </c:pt>
                <c:pt idx="1034">
                  <c:v>619616.56743710628</c:v>
                </c:pt>
                <c:pt idx="1035">
                  <c:v>622941.41339628794</c:v>
                </c:pt>
                <c:pt idx="1036">
                  <c:v>627107.14334405947</c:v>
                </c:pt>
                <c:pt idx="1037">
                  <c:v>626608.38113896234</c:v>
                </c:pt>
                <c:pt idx="1038">
                  <c:v>629776.38169503305</c:v>
                </c:pt>
                <c:pt idx="1039">
                  <c:v>628241.39147909533</c:v>
                </c:pt>
                <c:pt idx="1040">
                  <c:v>619986.62158771406</c:v>
                </c:pt>
                <c:pt idx="1041">
                  <c:v>615476.06977223849</c:v>
                </c:pt>
                <c:pt idx="1042">
                  <c:v>612537.82214266341</c:v>
                </c:pt>
                <c:pt idx="1043">
                  <c:v>624073.13999548217</c:v>
                </c:pt>
                <c:pt idx="1044">
                  <c:v>628313.4291489725</c:v>
                </c:pt>
                <c:pt idx="1045">
                  <c:v>628773.98252722446</c:v>
                </c:pt>
                <c:pt idx="1046">
                  <c:v>634352.65021544322</c:v>
                </c:pt>
                <c:pt idx="1047">
                  <c:v>634447.28997282463</c:v>
                </c:pt>
                <c:pt idx="1048">
                  <c:v>639416.32826530118</c:v>
                </c:pt>
                <c:pt idx="1049">
                  <c:v>633486.47950122261</c:v>
                </c:pt>
                <c:pt idx="1050">
                  <c:v>627049.6325063305</c:v>
                </c:pt>
                <c:pt idx="1051">
                  <c:v>621124.539437784</c:v>
                </c:pt>
                <c:pt idx="1052">
                  <c:v>616861.29020049796</c:v>
                </c:pt>
                <c:pt idx="1053">
                  <c:v>611743.84203678078</c:v>
                </c:pt>
                <c:pt idx="1054">
                  <c:v>618511.3802166892</c:v>
                </c:pt>
                <c:pt idx="1055">
                  <c:v>618582.96947890264</c:v>
                </c:pt>
                <c:pt idx="1056">
                  <c:v>610531.94223351404</c:v>
                </c:pt>
                <c:pt idx="1057">
                  <c:v>611939.72074651404</c:v>
                </c:pt>
                <c:pt idx="1058">
                  <c:v>611957.98705952428</c:v>
                </c:pt>
                <c:pt idx="1059">
                  <c:v>615309.84610648325</c:v>
                </c:pt>
                <c:pt idx="1060">
                  <c:v>617428.67725537368</c:v>
                </c:pt>
                <c:pt idx="1061">
                  <c:v>612740.10133737931</c:v>
                </c:pt>
                <c:pt idx="1062">
                  <c:v>608697.88784065249</c:v>
                </c:pt>
                <c:pt idx="1063">
                  <c:v>609677.74443140626</c:v>
                </c:pt>
                <c:pt idx="1064">
                  <c:v>611841.96682591457</c:v>
                </c:pt>
                <c:pt idx="1065">
                  <c:v>619648.19795130333</c:v>
                </c:pt>
                <c:pt idx="1066">
                  <c:v>622130.82494151627</c:v>
                </c:pt>
                <c:pt idx="1067">
                  <c:v>620782.74260304135</c:v>
                </c:pt>
                <c:pt idx="1068">
                  <c:v>616851.42651180597</c:v>
                </c:pt>
                <c:pt idx="1069">
                  <c:v>613147.87106364383</c:v>
                </c:pt>
                <c:pt idx="1070">
                  <c:v>608650.13369349611</c:v>
                </c:pt>
                <c:pt idx="1071">
                  <c:v>606426.81688493048</c:v>
                </c:pt>
                <c:pt idx="1072">
                  <c:v>605751.84917267214</c:v>
                </c:pt>
                <c:pt idx="1073">
                  <c:v>607082.70325893059</c:v>
                </c:pt>
                <c:pt idx="1074">
                  <c:v>605362.11452888139</c:v>
                </c:pt>
                <c:pt idx="1075">
                  <c:v>608517.2518663446</c:v>
                </c:pt>
                <c:pt idx="1076">
                  <c:v>604641.70748660958</c:v>
                </c:pt>
                <c:pt idx="1077">
                  <c:v>596439.59065365337</c:v>
                </c:pt>
                <c:pt idx="1078">
                  <c:v>596996.36431502004</c:v>
                </c:pt>
                <c:pt idx="1079">
                  <c:v>600836.65238748537</c:v>
                </c:pt>
                <c:pt idx="1080">
                  <c:v>593780.56139834237</c:v>
                </c:pt>
                <c:pt idx="1081">
                  <c:v>591945.70043798664</c:v>
                </c:pt>
                <c:pt idx="1082">
                  <c:v>594768.6320088628</c:v>
                </c:pt>
                <c:pt idx="1083">
                  <c:v>600143.45022132131</c:v>
                </c:pt>
                <c:pt idx="1084">
                  <c:v>600576.11906159704</c:v>
                </c:pt>
                <c:pt idx="1085">
                  <c:v>601436.04301063519</c:v>
                </c:pt>
                <c:pt idx="1086">
                  <c:v>602556.78925181739</c:v>
                </c:pt>
                <c:pt idx="1087">
                  <c:v>607681.95879846392</c:v>
                </c:pt>
                <c:pt idx="1088">
                  <c:v>602327.05876000447</c:v>
                </c:pt>
                <c:pt idx="1089">
                  <c:v>596715.64479011961</c:v>
                </c:pt>
                <c:pt idx="1090">
                  <c:v>594464.02668582217</c:v>
                </c:pt>
                <c:pt idx="1091">
                  <c:v>591836.78176071972</c:v>
                </c:pt>
                <c:pt idx="1092">
                  <c:v>616273.48369851604</c:v>
                </c:pt>
                <c:pt idx="1093">
                  <c:v>609866.42939011997</c:v>
                </c:pt>
                <c:pt idx="1094">
                  <c:v>618527.69984348025</c:v>
                </c:pt>
                <c:pt idx="1095">
                  <c:v>621286.40523128421</c:v>
                </c:pt>
                <c:pt idx="1096">
                  <c:v>623631.17577979201</c:v>
                </c:pt>
                <c:pt idx="1097">
                  <c:v>622119.95257703215</c:v>
                </c:pt>
                <c:pt idx="1098">
                  <c:v>623233.58463192952</c:v>
                </c:pt>
                <c:pt idx="1099">
                  <c:v>637968.46419491514</c:v>
                </c:pt>
                <c:pt idx="1100">
                  <c:v>627788.57422466204</c:v>
                </c:pt>
                <c:pt idx="1101">
                  <c:v>622199.16475941287</c:v>
                </c:pt>
                <c:pt idx="1102">
                  <c:v>626852.68149540061</c:v>
                </c:pt>
                <c:pt idx="1103">
                  <c:v>629934.59004111786</c:v>
                </c:pt>
                <c:pt idx="1104">
                  <c:v>636375.87262286013</c:v>
                </c:pt>
                <c:pt idx="1105">
                  <c:v>635383.25210522336</c:v>
                </c:pt>
                <c:pt idx="1106">
                  <c:v>640240.29268748162</c:v>
                </c:pt>
                <c:pt idx="1107">
                  <c:v>634710.5880396096</c:v>
                </c:pt>
                <c:pt idx="1108">
                  <c:v>634279.18508628418</c:v>
                </c:pt>
                <c:pt idx="1109">
                  <c:v>631812.49941963051</c:v>
                </c:pt>
                <c:pt idx="1110">
                  <c:v>643503.01951448875</c:v>
                </c:pt>
                <c:pt idx="1111">
                  <c:v>647647.23401728645</c:v>
                </c:pt>
                <c:pt idx="1112">
                  <c:v>636015.91826821945</c:v>
                </c:pt>
                <c:pt idx="1113">
                  <c:v>636117.6272665743</c:v>
                </c:pt>
                <c:pt idx="1114">
                  <c:v>633542.21493791218</c:v>
                </c:pt>
                <c:pt idx="1115">
                  <c:v>632904.10745758901</c:v>
                </c:pt>
                <c:pt idx="1116">
                  <c:v>635794.39873879903</c:v>
                </c:pt>
                <c:pt idx="1117">
                  <c:v>636467.61943653913</c:v>
                </c:pt>
                <c:pt idx="1118">
                  <c:v>638859.77525390417</c:v>
                </c:pt>
                <c:pt idx="1119">
                  <c:v>642850.74221069796</c:v>
                </c:pt>
                <c:pt idx="1120">
                  <c:v>639385.65613048419</c:v>
                </c:pt>
                <c:pt idx="1121">
                  <c:v>644059.36385408184</c:v>
                </c:pt>
                <c:pt idx="1122">
                  <c:v>639938.73170596268</c:v>
                </c:pt>
                <c:pt idx="1123">
                  <c:v>647332.07120434952</c:v>
                </c:pt>
                <c:pt idx="1124">
                  <c:v>645226.47512441617</c:v>
                </c:pt>
                <c:pt idx="1125">
                  <c:v>638740.62140279543</c:v>
                </c:pt>
                <c:pt idx="1126">
                  <c:v>634199.95001494291</c:v>
                </c:pt>
                <c:pt idx="1127">
                  <c:v>640045.49359899282</c:v>
                </c:pt>
                <c:pt idx="1128">
                  <c:v>642406.83747461613</c:v>
                </c:pt>
                <c:pt idx="1129">
                  <c:v>649106.12405837467</c:v>
                </c:pt>
                <c:pt idx="1130">
                  <c:v>648506.60084804648</c:v>
                </c:pt>
                <c:pt idx="1131">
                  <c:v>651514.64470208017</c:v>
                </c:pt>
                <c:pt idx="1132">
                  <c:v>653086.43345849146</c:v>
                </c:pt>
                <c:pt idx="1133">
                  <c:v>660743.92868549458</c:v>
                </c:pt>
                <c:pt idx="1134">
                  <c:v>671755.99903862958</c:v>
                </c:pt>
                <c:pt idx="1135">
                  <c:v>669106.12495922972</c:v>
                </c:pt>
                <c:pt idx="1136">
                  <c:v>650860.31127804564</c:v>
                </c:pt>
                <c:pt idx="1137">
                  <c:v>651877.38660832716</c:v>
                </c:pt>
                <c:pt idx="1138">
                  <c:v>650042.13819858886</c:v>
                </c:pt>
                <c:pt idx="1139">
                  <c:v>643358.08085834759</c:v>
                </c:pt>
                <c:pt idx="1140">
                  <c:v>628956.76960935222</c:v>
                </c:pt>
                <c:pt idx="1141">
                  <c:v>626164.80195317685</c:v>
                </c:pt>
                <c:pt idx="1142">
                  <c:v>625754.05319132598</c:v>
                </c:pt>
                <c:pt idx="1143">
                  <c:v>630308.02030192839</c:v>
                </c:pt>
                <c:pt idx="1144">
                  <c:v>619152.6548985932</c:v>
                </c:pt>
                <c:pt idx="1145">
                  <c:v>615462.56252498634</c:v>
                </c:pt>
                <c:pt idx="1146">
                  <c:v>610834.79537254584</c:v>
                </c:pt>
                <c:pt idx="1147">
                  <c:v>603731.55764064111</c:v>
                </c:pt>
                <c:pt idx="1148">
                  <c:v>602375.24448975304</c:v>
                </c:pt>
                <c:pt idx="1149">
                  <c:v>602132.78423149989</c:v>
                </c:pt>
                <c:pt idx="1150">
                  <c:v>595400.315471243</c:v>
                </c:pt>
                <c:pt idx="1151">
                  <c:v>587076.61025842</c:v>
                </c:pt>
                <c:pt idx="1152">
                  <c:v>591434.53413567937</c:v>
                </c:pt>
                <c:pt idx="1153">
                  <c:v>589547.09516146721</c:v>
                </c:pt>
                <c:pt idx="1154">
                  <c:v>586870.57682933332</c:v>
                </c:pt>
                <c:pt idx="1155">
                  <c:v>580201.09369794908</c:v>
                </c:pt>
                <c:pt idx="1156">
                  <c:v>577954.70558925241</c:v>
                </c:pt>
                <c:pt idx="1157">
                  <c:v>571083.81648137665</c:v>
                </c:pt>
                <c:pt idx="1158">
                  <c:v>570970.17868757807</c:v>
                </c:pt>
                <c:pt idx="1159">
                  <c:v>572404.15221960447</c:v>
                </c:pt>
                <c:pt idx="1160">
                  <c:v>572135.98698775121</c:v>
                </c:pt>
                <c:pt idx="1161">
                  <c:v>570361.39260809624</c:v>
                </c:pt>
                <c:pt idx="1162">
                  <c:v>572625.5437727581</c:v>
                </c:pt>
                <c:pt idx="1163">
                  <c:v>573475.29642552137</c:v>
                </c:pt>
                <c:pt idx="1164">
                  <c:v>573307.84176278708</c:v>
                </c:pt>
                <c:pt idx="1165">
                  <c:v>569047.18250702927</c:v>
                </c:pt>
                <c:pt idx="1166">
                  <c:v>565145.75801318663</c:v>
                </c:pt>
                <c:pt idx="1167">
                  <c:v>564233.63049740647</c:v>
                </c:pt>
                <c:pt idx="1168">
                  <c:v>560004.04217184067</c:v>
                </c:pt>
                <c:pt idx="1169">
                  <c:v>557424.08115780458</c:v>
                </c:pt>
                <c:pt idx="1170">
                  <c:v>562757.53542622004</c:v>
                </c:pt>
                <c:pt idx="1171">
                  <c:v>565340.27126798511</c:v>
                </c:pt>
                <c:pt idx="1172">
                  <c:v>566573.71062061389</c:v>
                </c:pt>
                <c:pt idx="1173">
                  <c:v>565374.19633689977</c:v>
                </c:pt>
                <c:pt idx="1174">
                  <c:v>571549.76410449203</c:v>
                </c:pt>
                <c:pt idx="1175">
                  <c:v>574695.14681586099</c:v>
                </c:pt>
                <c:pt idx="1176">
                  <c:v>572627.29200960277</c:v>
                </c:pt>
                <c:pt idx="1177">
                  <c:v>570676.00987729628</c:v>
                </c:pt>
                <c:pt idx="1178">
                  <c:v>567376.85654334631</c:v>
                </c:pt>
                <c:pt idx="1179">
                  <c:v>575662.81361344107</c:v>
                </c:pt>
                <c:pt idx="1180">
                  <c:v>578423.06787239108</c:v>
                </c:pt>
                <c:pt idx="1181">
                  <c:v>565082.89411813766</c:v>
                </c:pt>
                <c:pt idx="1182">
                  <c:v>569505.37288986216</c:v>
                </c:pt>
                <c:pt idx="1183">
                  <c:v>569540.30315063521</c:v>
                </c:pt>
                <c:pt idx="1184">
                  <c:v>571413.85441576655</c:v>
                </c:pt>
                <c:pt idx="1185">
                  <c:v>577255.34938078246</c:v>
                </c:pt>
                <c:pt idx="1186">
                  <c:v>580985.88775217882</c:v>
                </c:pt>
                <c:pt idx="1187">
                  <c:v>576467.40792391449</c:v>
                </c:pt>
                <c:pt idx="1188">
                  <c:v>574948.99157201056</c:v>
                </c:pt>
                <c:pt idx="1189">
                  <c:v>571590.96182824788</c:v>
                </c:pt>
                <c:pt idx="1190">
                  <c:v>581509.58117282845</c:v>
                </c:pt>
                <c:pt idx="1191">
                  <c:v>585021.58040209126</c:v>
                </c:pt>
                <c:pt idx="1192">
                  <c:v>590586.40460192156</c:v>
                </c:pt>
                <c:pt idx="1193">
                  <c:v>586965.21284242347</c:v>
                </c:pt>
                <c:pt idx="1194">
                  <c:v>593644.42691769009</c:v>
                </c:pt>
                <c:pt idx="1195">
                  <c:v>594499.48040222016</c:v>
                </c:pt>
                <c:pt idx="1196">
                  <c:v>589956.29505907476</c:v>
                </c:pt>
                <c:pt idx="1197">
                  <c:v>588503.70381140127</c:v>
                </c:pt>
                <c:pt idx="1198">
                  <c:v>587228.00712763844</c:v>
                </c:pt>
                <c:pt idx="1199">
                  <c:v>577545.91485399706</c:v>
                </c:pt>
                <c:pt idx="1200">
                  <c:v>575619.9860275453</c:v>
                </c:pt>
                <c:pt idx="1201">
                  <c:v>575646.58468577208</c:v>
                </c:pt>
                <c:pt idx="1202">
                  <c:v>567323.56780031777</c:v>
                </c:pt>
                <c:pt idx="1203">
                  <c:v>574645.44829421898</c:v>
                </c:pt>
                <c:pt idx="1204">
                  <c:v>575094.26326987578</c:v>
                </c:pt>
                <c:pt idx="1205">
                  <c:v>575819.97777176893</c:v>
                </c:pt>
                <c:pt idx="1206">
                  <c:v>570596.65843419428</c:v>
                </c:pt>
                <c:pt idx="1207">
                  <c:v>567973.81890505506</c:v>
                </c:pt>
                <c:pt idx="1208">
                  <c:v>562361.18985812343</c:v>
                </c:pt>
                <c:pt idx="1209">
                  <c:v>564882.6145967578</c:v>
                </c:pt>
                <c:pt idx="1210">
                  <c:v>568356.85920146736</c:v>
                </c:pt>
                <c:pt idx="1211">
                  <c:v>565481.61557261122</c:v>
                </c:pt>
                <c:pt idx="1212">
                  <c:v>559935.94157263113</c:v>
                </c:pt>
                <c:pt idx="1213">
                  <c:v>562075.81955504755</c:v>
                </c:pt>
                <c:pt idx="1214">
                  <c:v>573058.83918761835</c:v>
                </c:pt>
                <c:pt idx="1215">
                  <c:v>571947.63625084795</c:v>
                </c:pt>
                <c:pt idx="1216">
                  <c:v>568878.68939022743</c:v>
                </c:pt>
                <c:pt idx="1217">
                  <c:v>563175.9915943403</c:v>
                </c:pt>
                <c:pt idx="1218">
                  <c:v>566641.31811574625</c:v>
                </c:pt>
                <c:pt idx="1219">
                  <c:v>550077.7845708566</c:v>
                </c:pt>
                <c:pt idx="1220">
                  <c:v>542579.07230072818</c:v>
                </c:pt>
                <c:pt idx="1221">
                  <c:v>532182.00406354701</c:v>
                </c:pt>
                <c:pt idx="1222">
                  <c:v>531244.73722976889</c:v>
                </c:pt>
                <c:pt idx="1223">
                  <c:v>536663.67419545166</c:v>
                </c:pt>
                <c:pt idx="1224">
                  <c:v>536396.49928335089</c:v>
                </c:pt>
                <c:pt idx="1225">
                  <c:v>537484.25654263794</c:v>
                </c:pt>
                <c:pt idx="1226">
                  <c:v>529574.35722220805</c:v>
                </c:pt>
                <c:pt idx="1227">
                  <c:v>535334.6437115256</c:v>
                </c:pt>
                <c:pt idx="1228">
                  <c:v>536105.733658585</c:v>
                </c:pt>
                <c:pt idx="1229">
                  <c:v>537404.70240770385</c:v>
                </c:pt>
                <c:pt idx="1230">
                  <c:v>536236.03539621551</c:v>
                </c:pt>
                <c:pt idx="1231">
                  <c:v>540815.24394743238</c:v>
                </c:pt>
                <c:pt idx="1232">
                  <c:v>537568.00405258639</c:v>
                </c:pt>
                <c:pt idx="1233">
                  <c:v>540602.54906674486</c:v>
                </c:pt>
                <c:pt idx="1234">
                  <c:v>544309.67236185831</c:v>
                </c:pt>
                <c:pt idx="1235">
                  <c:v>541735.79137084482</c:v>
                </c:pt>
                <c:pt idx="1236">
                  <c:v>536708.34855302784</c:v>
                </c:pt>
                <c:pt idx="1237">
                  <c:v>538864.90423132887</c:v>
                </c:pt>
                <c:pt idx="1238">
                  <c:v>539953.95259873685</c:v>
                </c:pt>
                <c:pt idx="1239">
                  <c:v>542058.26648070989</c:v>
                </c:pt>
                <c:pt idx="1240">
                  <c:v>537770.87010782945</c:v>
                </c:pt>
                <c:pt idx="1241">
                  <c:v>540018.19828290178</c:v>
                </c:pt>
                <c:pt idx="1242">
                  <c:v>538853.71267812827</c:v>
                </c:pt>
                <c:pt idx="1243">
                  <c:v>538065.1967318817</c:v>
                </c:pt>
                <c:pt idx="1244">
                  <c:v>532779.76622597768</c:v>
                </c:pt>
                <c:pt idx="1245">
                  <c:v>540065.46842532768</c:v>
                </c:pt>
                <c:pt idx="1246">
                  <c:v>541124.41623064899</c:v>
                </c:pt>
                <c:pt idx="1247">
                  <c:v>543579.83451898664</c:v>
                </c:pt>
                <c:pt idx="1248">
                  <c:v>543801.85364318942</c:v>
                </c:pt>
                <c:pt idx="1249">
                  <c:v>542528.53651222074</c:v>
                </c:pt>
                <c:pt idx="1250">
                  <c:v>537617.39237678365</c:v>
                </c:pt>
                <c:pt idx="1251">
                  <c:v>539552.01583865634</c:v>
                </c:pt>
                <c:pt idx="1252">
                  <c:v>546978.24579914322</c:v>
                </c:pt>
                <c:pt idx="1253">
                  <c:v>543862.0938657244</c:v>
                </c:pt>
                <c:pt idx="1254">
                  <c:v>543269.60615355941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3-4B54-86D8-314F06EBE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75728"/>
        <c:axId val="2026973056"/>
      </c:lineChart>
      <c:dateAx>
        <c:axId val="481375728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73056"/>
        <c:crosses val="autoZero"/>
        <c:auto val="1"/>
        <c:lblOffset val="100"/>
        <c:baseTimeUnit val="days"/>
      </c:dateAx>
      <c:valAx>
        <c:axId val="20269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Drawdown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Portfolio Drawdown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Returns!$A$2:$A$1256</c:f>
              <c:numCache>
                <c:formatCode>dd/mm/yy;@</c:formatCode>
                <c:ptCount val="1255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  <c:pt idx="1252">
                  <c:v>46281</c:v>
                </c:pt>
                <c:pt idx="1253">
                  <c:v>46282</c:v>
                </c:pt>
                <c:pt idx="1254">
                  <c:v>46283</c:v>
                </c:pt>
              </c:numCache>
            </c:numRef>
          </c:cat>
          <c:val>
            <c:numRef>
              <c:f>Returns!$J$2:$J$1256</c:f>
              <c:numCache>
                <c:formatCode>0.00%</c:formatCode>
                <c:ptCount val="1255"/>
                <c:pt idx="0">
                  <c:v>0</c:v>
                </c:pt>
                <c:pt idx="1">
                  <c:v>-4.6622727208642755E-4</c:v>
                </c:pt>
                <c:pt idx="2">
                  <c:v>-1.2420701974119642E-2</c:v>
                </c:pt>
                <c:pt idx="3">
                  <c:v>-2.696844618158124E-2</c:v>
                </c:pt>
                <c:pt idx="4">
                  <c:v>-3.1693632410206368E-2</c:v>
                </c:pt>
                <c:pt idx="5">
                  <c:v>-3.6014219729092668E-2</c:v>
                </c:pt>
                <c:pt idx="6">
                  <c:v>-1.9076806864777113E-2</c:v>
                </c:pt>
                <c:pt idx="7">
                  <c:v>-1.7826397739462436E-2</c:v>
                </c:pt>
                <c:pt idx="8">
                  <c:v>-4.2670677476018904E-3</c:v>
                </c:pt>
                <c:pt idx="9">
                  <c:v>-2.5248166318311938E-2</c:v>
                </c:pt>
                <c:pt idx="10">
                  <c:v>-1.6491923452751828E-2</c:v>
                </c:pt>
                <c:pt idx="11">
                  <c:v>-2.977809370956826E-2</c:v>
                </c:pt>
                <c:pt idx="12">
                  <c:v>-3.2026337884361156E-2</c:v>
                </c:pt>
                <c:pt idx="13">
                  <c:v>-4.2254738765193263E-2</c:v>
                </c:pt>
                <c:pt idx="14">
                  <c:v>-4.9609354012737514E-2</c:v>
                </c:pt>
                <c:pt idx="15">
                  <c:v>-4.0375832337061872E-2</c:v>
                </c:pt>
                <c:pt idx="16">
                  <c:v>-3.2690981885036108E-2</c:v>
                </c:pt>
                <c:pt idx="17">
                  <c:v>-3.0919840756639488E-2</c:v>
                </c:pt>
                <c:pt idx="18">
                  <c:v>-5.3531014347813675E-2</c:v>
                </c:pt>
                <c:pt idx="19">
                  <c:v>-6.3503474146462624E-2</c:v>
                </c:pt>
                <c:pt idx="20">
                  <c:v>-6.5526607167591927E-2</c:v>
                </c:pt>
                <c:pt idx="21">
                  <c:v>-7.1607654593751527E-2</c:v>
                </c:pt>
                <c:pt idx="22">
                  <c:v>-7.723117439973029E-2</c:v>
                </c:pt>
                <c:pt idx="23">
                  <c:v>-7.7513611578945651E-2</c:v>
                </c:pt>
                <c:pt idx="24">
                  <c:v>-7.7288948325989065E-2</c:v>
                </c:pt>
                <c:pt idx="25">
                  <c:v>-7.9263372716760261E-2</c:v>
                </c:pt>
                <c:pt idx="26">
                  <c:v>-8.9658176924228783E-2</c:v>
                </c:pt>
                <c:pt idx="27">
                  <c:v>-9.6440240350329554E-2</c:v>
                </c:pt>
                <c:pt idx="28">
                  <c:v>-0.10058977022456506</c:v>
                </c:pt>
                <c:pt idx="29">
                  <c:v>-0.10910917278871628</c:v>
                </c:pt>
                <c:pt idx="30">
                  <c:v>-0.10282420334181946</c:v>
                </c:pt>
                <c:pt idx="31">
                  <c:v>-0.10487160446916777</c:v>
                </c:pt>
                <c:pt idx="32">
                  <c:v>-0.1063968053209302</c:v>
                </c:pt>
                <c:pt idx="33">
                  <c:v>-0.10843116131730925</c:v>
                </c:pt>
                <c:pt idx="34">
                  <c:v>-0.1100014824546317</c:v>
                </c:pt>
                <c:pt idx="35">
                  <c:v>-0.11626731176117062</c:v>
                </c:pt>
                <c:pt idx="36">
                  <c:v>-0.11659460950419959</c:v>
                </c:pt>
                <c:pt idx="37">
                  <c:v>-0.10475219449553161</c:v>
                </c:pt>
                <c:pt idx="38">
                  <c:v>-0.10483328899469424</c:v>
                </c:pt>
                <c:pt idx="39">
                  <c:v>-0.10906924162500246</c:v>
                </c:pt>
                <c:pt idx="40">
                  <c:v>-0.10641607388171821</c:v>
                </c:pt>
                <c:pt idx="41">
                  <c:v>-0.1075354791205636</c:v>
                </c:pt>
                <c:pt idx="42">
                  <c:v>-0.10467367388105893</c:v>
                </c:pt>
                <c:pt idx="43">
                  <c:v>-0.1046108945403694</c:v>
                </c:pt>
                <c:pt idx="44">
                  <c:v>-8.9562573205222026E-2</c:v>
                </c:pt>
                <c:pt idx="45">
                  <c:v>-8.9793320766680174E-2</c:v>
                </c:pt>
                <c:pt idx="46">
                  <c:v>-0.10082980494981353</c:v>
                </c:pt>
                <c:pt idx="47">
                  <c:v>-0.10213595649539656</c:v>
                </c:pt>
                <c:pt idx="48">
                  <c:v>-7.6378742802125407E-2</c:v>
                </c:pt>
                <c:pt idx="49">
                  <c:v>-8.9610972114724574E-2</c:v>
                </c:pt>
                <c:pt idx="50">
                  <c:v>-7.0353821732437705E-2</c:v>
                </c:pt>
                <c:pt idx="51">
                  <c:v>-6.7738769427096585E-2</c:v>
                </c:pt>
                <c:pt idx="52">
                  <c:v>-7.8991551617539138E-2</c:v>
                </c:pt>
                <c:pt idx="53">
                  <c:v>-7.1420558467439027E-2</c:v>
                </c:pt>
                <c:pt idx="54">
                  <c:v>-8.3318923985603616E-2</c:v>
                </c:pt>
                <c:pt idx="55">
                  <c:v>-9.9792247381026974E-2</c:v>
                </c:pt>
                <c:pt idx="56">
                  <c:v>-0.10095042506166291</c:v>
                </c:pt>
                <c:pt idx="57">
                  <c:v>-0.10114937266815092</c:v>
                </c:pt>
                <c:pt idx="58">
                  <c:v>-0.10882351784091152</c:v>
                </c:pt>
                <c:pt idx="59">
                  <c:v>-9.8349512741464418E-2</c:v>
                </c:pt>
                <c:pt idx="60">
                  <c:v>-9.1454950272656044E-2</c:v>
                </c:pt>
                <c:pt idx="61">
                  <c:v>-0.10134991729321761</c:v>
                </c:pt>
                <c:pt idx="62">
                  <c:v>-9.5988796179806116E-2</c:v>
                </c:pt>
                <c:pt idx="63">
                  <c:v>-8.1532585587083123E-2</c:v>
                </c:pt>
                <c:pt idx="64">
                  <c:v>-7.1795776825405305E-2</c:v>
                </c:pt>
                <c:pt idx="65">
                  <c:v>-8.6375024286860252E-2</c:v>
                </c:pt>
                <c:pt idx="66">
                  <c:v>-9.8015347599008235E-2</c:v>
                </c:pt>
                <c:pt idx="67">
                  <c:v>-0.10062718336228305</c:v>
                </c:pt>
                <c:pt idx="68">
                  <c:v>-0.11094441530377418</c:v>
                </c:pt>
                <c:pt idx="69">
                  <c:v>-0.11002230963278026</c:v>
                </c:pt>
                <c:pt idx="70">
                  <c:v>-0.10961502765731967</c:v>
                </c:pt>
                <c:pt idx="71">
                  <c:v>-0.10611994947969366</c:v>
                </c:pt>
                <c:pt idx="72">
                  <c:v>-0.10307036789193075</c:v>
                </c:pt>
                <c:pt idx="73">
                  <c:v>-0.11279250750508962</c:v>
                </c:pt>
                <c:pt idx="74">
                  <c:v>-0.1177785492912234</c:v>
                </c:pt>
                <c:pt idx="75">
                  <c:v>-0.10069595985633309</c:v>
                </c:pt>
                <c:pt idx="76">
                  <c:v>-9.7596309425654823E-2</c:v>
                </c:pt>
                <c:pt idx="77">
                  <c:v>-9.5592268423286844E-2</c:v>
                </c:pt>
                <c:pt idx="78">
                  <c:v>-9.9449866035597509E-2</c:v>
                </c:pt>
                <c:pt idx="79">
                  <c:v>-0.11023175549729192</c:v>
                </c:pt>
                <c:pt idx="80">
                  <c:v>-0.11644223369571753</c:v>
                </c:pt>
                <c:pt idx="81">
                  <c:v>-0.1011511386762344</c:v>
                </c:pt>
                <c:pt idx="82">
                  <c:v>-9.7255168213188886E-2</c:v>
                </c:pt>
                <c:pt idx="83">
                  <c:v>-8.0174593438548505E-2</c:v>
                </c:pt>
                <c:pt idx="84">
                  <c:v>-7.7186740768875106E-2</c:v>
                </c:pt>
                <c:pt idx="85">
                  <c:v>-7.2646456410919671E-2</c:v>
                </c:pt>
                <c:pt idx="86">
                  <c:v>-5.8071573557066845E-2</c:v>
                </c:pt>
                <c:pt idx="87">
                  <c:v>-6.0839110205354638E-2</c:v>
                </c:pt>
                <c:pt idx="88">
                  <c:v>-5.5145726807635742E-2</c:v>
                </c:pt>
                <c:pt idx="89">
                  <c:v>-6.4212955263483806E-2</c:v>
                </c:pt>
                <c:pt idx="90">
                  <c:v>-6.6140083631088614E-2</c:v>
                </c:pt>
                <c:pt idx="91">
                  <c:v>-8.1175790207341197E-2</c:v>
                </c:pt>
                <c:pt idx="92">
                  <c:v>-9.2058795556597767E-2</c:v>
                </c:pt>
                <c:pt idx="93">
                  <c:v>-0.1062451108815138</c:v>
                </c:pt>
                <c:pt idx="94">
                  <c:v>-0.12374837631013698</c:v>
                </c:pt>
                <c:pt idx="95">
                  <c:v>-0.11033921907289862</c:v>
                </c:pt>
                <c:pt idx="96">
                  <c:v>-0.11952712037385464</c:v>
                </c:pt>
                <c:pt idx="97">
                  <c:v>-0.11430696946700954</c:v>
                </c:pt>
                <c:pt idx="98">
                  <c:v>-0.1187203234667069</c:v>
                </c:pt>
                <c:pt idx="99">
                  <c:v>-0.1267460696682873</c:v>
                </c:pt>
                <c:pt idx="100">
                  <c:v>-0.11139572645699</c:v>
                </c:pt>
                <c:pt idx="101">
                  <c:v>-0.10009154401854799</c:v>
                </c:pt>
                <c:pt idx="102">
                  <c:v>-9.5798934489260551E-2</c:v>
                </c:pt>
                <c:pt idx="103">
                  <c:v>-0.1022822481235672</c:v>
                </c:pt>
                <c:pt idx="104">
                  <c:v>-0.10537628543347179</c:v>
                </c:pt>
                <c:pt idx="105">
                  <c:v>-8.4752996507953385E-2</c:v>
                </c:pt>
                <c:pt idx="106">
                  <c:v>-7.7775064430002594E-2</c:v>
                </c:pt>
                <c:pt idx="107">
                  <c:v>-7.2213485705613159E-2</c:v>
                </c:pt>
                <c:pt idx="108">
                  <c:v>-5.9672796790121239E-2</c:v>
                </c:pt>
                <c:pt idx="109">
                  <c:v>-6.6688973642043764E-2</c:v>
                </c:pt>
                <c:pt idx="110">
                  <c:v>-8.7855857364347326E-2</c:v>
                </c:pt>
                <c:pt idx="111">
                  <c:v>-8.3027179782600144E-2</c:v>
                </c:pt>
                <c:pt idx="112">
                  <c:v>-7.3978452907061551E-2</c:v>
                </c:pt>
                <c:pt idx="113">
                  <c:v>-8.8266327668926906E-2</c:v>
                </c:pt>
                <c:pt idx="114">
                  <c:v>-8.5036163710220714E-2</c:v>
                </c:pt>
                <c:pt idx="115">
                  <c:v>-8.4200753391830141E-2</c:v>
                </c:pt>
                <c:pt idx="116">
                  <c:v>-6.3589819493078278E-2</c:v>
                </c:pt>
                <c:pt idx="117">
                  <c:v>-5.7368186079876031E-2</c:v>
                </c:pt>
                <c:pt idx="118">
                  <c:v>-7.512765487933927E-2</c:v>
                </c:pt>
                <c:pt idx="119">
                  <c:v>-7.7427408198286196E-2</c:v>
                </c:pt>
                <c:pt idx="120">
                  <c:v>-6.2243534191308195E-2</c:v>
                </c:pt>
                <c:pt idx="121">
                  <c:v>-5.0747682756628838E-2</c:v>
                </c:pt>
                <c:pt idx="122">
                  <c:v>-5.8254091400089907E-2</c:v>
                </c:pt>
                <c:pt idx="123">
                  <c:v>-7.6133848509585142E-2</c:v>
                </c:pt>
                <c:pt idx="124">
                  <c:v>-8.7747391483048554E-2</c:v>
                </c:pt>
                <c:pt idx="125">
                  <c:v>-9.2857558533889481E-2</c:v>
                </c:pt>
                <c:pt idx="126">
                  <c:v>-9.9814247902383219E-2</c:v>
                </c:pt>
                <c:pt idx="127">
                  <c:v>-0.10969165677908319</c:v>
                </c:pt>
                <c:pt idx="128">
                  <c:v>-0.1033249870705012</c:v>
                </c:pt>
                <c:pt idx="129">
                  <c:v>-0.11548080295700731</c:v>
                </c:pt>
                <c:pt idx="130">
                  <c:v>-0.1205409774232629</c:v>
                </c:pt>
                <c:pt idx="131">
                  <c:v>-0.11789391491850687</c:v>
                </c:pt>
                <c:pt idx="132">
                  <c:v>-0.12042170785215159</c:v>
                </c:pt>
                <c:pt idx="133">
                  <c:v>-0.12444010470907158</c:v>
                </c:pt>
                <c:pt idx="134">
                  <c:v>-0.10598974565612292</c:v>
                </c:pt>
                <c:pt idx="135">
                  <c:v>-0.10874299544665182</c:v>
                </c:pt>
                <c:pt idx="136">
                  <c:v>-0.1153472995362553</c:v>
                </c:pt>
                <c:pt idx="137">
                  <c:v>-0.10967754397411238</c:v>
                </c:pt>
                <c:pt idx="138">
                  <c:v>-0.10177685524084035</c:v>
                </c:pt>
                <c:pt idx="139">
                  <c:v>-0.10618630636760046</c:v>
                </c:pt>
                <c:pt idx="140">
                  <c:v>-0.10989456036041502</c:v>
                </c:pt>
                <c:pt idx="141">
                  <c:v>-8.6601533197851854E-2</c:v>
                </c:pt>
                <c:pt idx="142">
                  <c:v>-8.335053960700485E-2</c:v>
                </c:pt>
                <c:pt idx="143">
                  <c:v>-8.7548181489591259E-2</c:v>
                </c:pt>
                <c:pt idx="144">
                  <c:v>-7.7597127481871989E-2</c:v>
                </c:pt>
                <c:pt idx="145">
                  <c:v>-8.4002872775941623E-2</c:v>
                </c:pt>
                <c:pt idx="146">
                  <c:v>-9.3656790880229324E-2</c:v>
                </c:pt>
                <c:pt idx="147">
                  <c:v>-9.5349551381273309E-2</c:v>
                </c:pt>
                <c:pt idx="148">
                  <c:v>-8.0866703924253935E-2</c:v>
                </c:pt>
                <c:pt idx="149">
                  <c:v>-5.3016839376706398E-2</c:v>
                </c:pt>
                <c:pt idx="150">
                  <c:v>-5.7342527256423373E-2</c:v>
                </c:pt>
                <c:pt idx="151">
                  <c:v>-3.3449022016172648E-2</c:v>
                </c:pt>
                <c:pt idx="152">
                  <c:v>-3.7789141755643997E-2</c:v>
                </c:pt>
                <c:pt idx="153">
                  <c:v>-6.1465224157473651E-2</c:v>
                </c:pt>
                <c:pt idx="154">
                  <c:v>-2.9581132631692687E-2</c:v>
                </c:pt>
                <c:pt idx="155">
                  <c:v>-3.9945619805064753E-2</c:v>
                </c:pt>
                <c:pt idx="156">
                  <c:v>-4.6678798052592084E-2</c:v>
                </c:pt>
                <c:pt idx="157">
                  <c:v>-7.6163981086920712E-2</c:v>
                </c:pt>
                <c:pt idx="158">
                  <c:v>-4.6210520170631472E-2</c:v>
                </c:pt>
                <c:pt idx="159">
                  <c:v>-4.7578853910277483E-2</c:v>
                </c:pt>
                <c:pt idx="160">
                  <c:v>-1.0392813427535235E-2</c:v>
                </c:pt>
                <c:pt idx="161">
                  <c:v>-1.4274815453996765E-2</c:v>
                </c:pt>
                <c:pt idx="162">
                  <c:v>-8.1315100143967423E-3</c:v>
                </c:pt>
                <c:pt idx="163">
                  <c:v>-4.5019297796965109E-4</c:v>
                </c:pt>
                <c:pt idx="164">
                  <c:v>-2.0641587645568185E-2</c:v>
                </c:pt>
                <c:pt idx="165">
                  <c:v>-2.2817195479066344E-2</c:v>
                </c:pt>
                <c:pt idx="166">
                  <c:v>-4.0173862460927919E-2</c:v>
                </c:pt>
                <c:pt idx="167">
                  <c:v>-8.1049308385243643E-3</c:v>
                </c:pt>
                <c:pt idx="168">
                  <c:v>-5.7164360251274193E-3</c:v>
                </c:pt>
                <c:pt idx="169">
                  <c:v>-5.4140761996689249E-3</c:v>
                </c:pt>
                <c:pt idx="170">
                  <c:v>-3.4664143622312578E-2</c:v>
                </c:pt>
                <c:pt idx="171">
                  <c:v>-2.9687626752380632E-2</c:v>
                </c:pt>
                <c:pt idx="172">
                  <c:v>-3.6909100179530793E-2</c:v>
                </c:pt>
                <c:pt idx="173">
                  <c:v>-4.8456869640083167E-2</c:v>
                </c:pt>
                <c:pt idx="174">
                  <c:v>-6.7565779971591078E-2</c:v>
                </c:pt>
                <c:pt idx="175">
                  <c:v>-6.3377716559324879E-2</c:v>
                </c:pt>
                <c:pt idx="176">
                  <c:v>-6.2558259914082481E-2</c:v>
                </c:pt>
                <c:pt idx="177">
                  <c:v>-7.2498631931673149E-2</c:v>
                </c:pt>
                <c:pt idx="178">
                  <c:v>-6.185696894085687E-2</c:v>
                </c:pt>
                <c:pt idx="179">
                  <c:v>-6.5302316884802189E-2</c:v>
                </c:pt>
                <c:pt idx="180">
                  <c:v>-7.9683573488081333E-2</c:v>
                </c:pt>
                <c:pt idx="181">
                  <c:v>-7.6166981366419112E-2</c:v>
                </c:pt>
                <c:pt idx="182">
                  <c:v>-5.8854708110745647E-2</c:v>
                </c:pt>
                <c:pt idx="183">
                  <c:v>-2.9390734575776966E-2</c:v>
                </c:pt>
                <c:pt idx="184">
                  <c:v>0</c:v>
                </c:pt>
                <c:pt idx="185">
                  <c:v>0</c:v>
                </c:pt>
                <c:pt idx="186">
                  <c:v>-1.2223619189623282E-2</c:v>
                </c:pt>
                <c:pt idx="187">
                  <c:v>0</c:v>
                </c:pt>
                <c:pt idx="188">
                  <c:v>0</c:v>
                </c:pt>
                <c:pt idx="189">
                  <c:v>-4.0996549535790787E-2</c:v>
                </c:pt>
                <c:pt idx="190">
                  <c:v>-3.5128541394343314E-2</c:v>
                </c:pt>
                <c:pt idx="191">
                  <c:v>-3.6471806250942117E-2</c:v>
                </c:pt>
                <c:pt idx="192">
                  <c:v>-5.9895360728429617E-2</c:v>
                </c:pt>
                <c:pt idx="193">
                  <c:v>-6.112871172643794E-2</c:v>
                </c:pt>
                <c:pt idx="194">
                  <c:v>-5.3761224428182028E-2</c:v>
                </c:pt>
                <c:pt idx="195">
                  <c:v>-5.0539622441606369E-2</c:v>
                </c:pt>
                <c:pt idx="196">
                  <c:v>-3.2437340711192059E-2</c:v>
                </c:pt>
                <c:pt idx="197">
                  <c:v>-4.2163354247041943E-2</c:v>
                </c:pt>
                <c:pt idx="198">
                  <c:v>-4.0684150090950083E-2</c:v>
                </c:pt>
                <c:pt idx="199">
                  <c:v>-4.4231489805884594E-2</c:v>
                </c:pt>
                <c:pt idx="200">
                  <c:v>-6.2863878903157686E-2</c:v>
                </c:pt>
                <c:pt idx="201">
                  <c:v>-6.4503910735483366E-2</c:v>
                </c:pt>
                <c:pt idx="202">
                  <c:v>-5.2267810163215252E-2</c:v>
                </c:pt>
                <c:pt idx="203">
                  <c:v>-3.8112538289092501E-2</c:v>
                </c:pt>
                <c:pt idx="204">
                  <c:v>-2.6653267639521517E-2</c:v>
                </c:pt>
                <c:pt idx="205">
                  <c:v>-1.541519990835487E-2</c:v>
                </c:pt>
                <c:pt idx="206">
                  <c:v>-4.1954070435029946E-2</c:v>
                </c:pt>
                <c:pt idx="207">
                  <c:v>-3.2914213920807019E-2</c:v>
                </c:pt>
                <c:pt idx="208">
                  <c:v>-5.9516847409903248E-2</c:v>
                </c:pt>
                <c:pt idx="209">
                  <c:v>-5.8601816278481968E-2</c:v>
                </c:pt>
                <c:pt idx="210">
                  <c:v>-6.0282801171951582E-2</c:v>
                </c:pt>
                <c:pt idx="211">
                  <c:v>-4.3090960089938957E-2</c:v>
                </c:pt>
                <c:pt idx="212">
                  <c:v>-5.1131912599207803E-2</c:v>
                </c:pt>
                <c:pt idx="213">
                  <c:v>-3.8403152616876497E-2</c:v>
                </c:pt>
                <c:pt idx="214">
                  <c:v>-7.2308912607572079E-2</c:v>
                </c:pt>
                <c:pt idx="215">
                  <c:v>-8.3146398702855354E-2</c:v>
                </c:pt>
                <c:pt idx="216">
                  <c:v>-9.8567699026334082E-2</c:v>
                </c:pt>
                <c:pt idx="217">
                  <c:v>-8.568928927067368E-2</c:v>
                </c:pt>
                <c:pt idx="218">
                  <c:v>-8.0304969709834084E-2</c:v>
                </c:pt>
                <c:pt idx="219">
                  <c:v>-8.7406025775264351E-2</c:v>
                </c:pt>
                <c:pt idx="220">
                  <c:v>-7.595408062674372E-2</c:v>
                </c:pt>
                <c:pt idx="221">
                  <c:v>-8.2833137780615337E-2</c:v>
                </c:pt>
                <c:pt idx="222">
                  <c:v>-8.0155489178074649E-2</c:v>
                </c:pt>
                <c:pt idx="223">
                  <c:v>-8.5596380756747859E-2</c:v>
                </c:pt>
                <c:pt idx="224">
                  <c:v>-0.10115490945541612</c:v>
                </c:pt>
                <c:pt idx="225">
                  <c:v>-0.10453380650169042</c:v>
                </c:pt>
                <c:pt idx="226">
                  <c:v>-0.11976627851969453</c:v>
                </c:pt>
                <c:pt idx="227">
                  <c:v>-0.11884908434260094</c:v>
                </c:pt>
                <c:pt idx="228">
                  <c:v>-0.11832526828082855</c:v>
                </c:pt>
                <c:pt idx="229">
                  <c:v>-0.11425696681998078</c:v>
                </c:pt>
                <c:pt idx="230">
                  <c:v>-0.11724072014211838</c:v>
                </c:pt>
                <c:pt idx="231">
                  <c:v>-0.10627094496379862</c:v>
                </c:pt>
                <c:pt idx="232">
                  <c:v>-9.1817459603549617E-2</c:v>
                </c:pt>
                <c:pt idx="233">
                  <c:v>-9.2980635978582721E-2</c:v>
                </c:pt>
                <c:pt idx="234">
                  <c:v>-9.4003621959147646E-2</c:v>
                </c:pt>
                <c:pt idx="235">
                  <c:v>-0.10744208319564127</c:v>
                </c:pt>
                <c:pt idx="236">
                  <c:v>-7.7656540231128196E-2</c:v>
                </c:pt>
                <c:pt idx="237">
                  <c:v>-7.7974334574671164E-2</c:v>
                </c:pt>
                <c:pt idx="238">
                  <c:v>-6.5865306627030773E-2</c:v>
                </c:pt>
                <c:pt idx="239">
                  <c:v>-5.9771948924886603E-2</c:v>
                </c:pt>
                <c:pt idx="240">
                  <c:v>-6.1124167798852283E-2</c:v>
                </c:pt>
                <c:pt idx="241">
                  <c:v>-5.3929813510923623E-2</c:v>
                </c:pt>
                <c:pt idx="242">
                  <c:v>-4.9235682786357191E-2</c:v>
                </c:pt>
                <c:pt idx="243">
                  <c:v>-6.0759859504716657E-2</c:v>
                </c:pt>
                <c:pt idx="244">
                  <c:v>-6.7084599322137853E-2</c:v>
                </c:pt>
                <c:pt idx="245">
                  <c:v>-7.8551035807881517E-2</c:v>
                </c:pt>
                <c:pt idx="246">
                  <c:v>-8.7048825361797436E-2</c:v>
                </c:pt>
                <c:pt idx="247">
                  <c:v>-4.7905406387814639E-2</c:v>
                </c:pt>
                <c:pt idx="248">
                  <c:v>-5.1842419790035239E-2</c:v>
                </c:pt>
                <c:pt idx="249">
                  <c:v>-4.4612119718028267E-2</c:v>
                </c:pt>
                <c:pt idx="250">
                  <c:v>-3.8598715173324034E-2</c:v>
                </c:pt>
                <c:pt idx="251">
                  <c:v>-4.1602740431243013E-2</c:v>
                </c:pt>
                <c:pt idx="252">
                  <c:v>-3.0622049280874728E-2</c:v>
                </c:pt>
                <c:pt idx="253">
                  <c:v>-1.114575582479245E-2</c:v>
                </c:pt>
                <c:pt idx="254">
                  <c:v>-1.3484853726023618E-2</c:v>
                </c:pt>
                <c:pt idx="255">
                  <c:v>0</c:v>
                </c:pt>
                <c:pt idx="256">
                  <c:v>0</c:v>
                </c:pt>
                <c:pt idx="257">
                  <c:v>-5.9441570916880099E-5</c:v>
                </c:pt>
                <c:pt idx="258">
                  <c:v>-2.2184307465066139E-2</c:v>
                </c:pt>
                <c:pt idx="259">
                  <c:v>-8.2150660697191923E-3</c:v>
                </c:pt>
                <c:pt idx="260">
                  <c:v>0</c:v>
                </c:pt>
                <c:pt idx="261">
                  <c:v>-3.2650667367913368E-2</c:v>
                </c:pt>
                <c:pt idx="262">
                  <c:v>-6.2965444987197014E-2</c:v>
                </c:pt>
                <c:pt idx="263">
                  <c:v>-6.9150786887019006E-2</c:v>
                </c:pt>
                <c:pt idx="264">
                  <c:v>-6.5952254573403604E-2</c:v>
                </c:pt>
                <c:pt idx="265">
                  <c:v>-3.9757608245449008E-2</c:v>
                </c:pt>
                <c:pt idx="266">
                  <c:v>-2.5596622742371684E-2</c:v>
                </c:pt>
                <c:pt idx="267">
                  <c:v>-1.3803971411554887E-2</c:v>
                </c:pt>
                <c:pt idx="268">
                  <c:v>-1.8944271033982003E-2</c:v>
                </c:pt>
                <c:pt idx="269">
                  <c:v>-4.9823728011275395E-2</c:v>
                </c:pt>
                <c:pt idx="270">
                  <c:v>-3.9348036567396806E-2</c:v>
                </c:pt>
                <c:pt idx="271">
                  <c:v>-6.6854274556892523E-2</c:v>
                </c:pt>
                <c:pt idx="272">
                  <c:v>-7.4230387762435859E-2</c:v>
                </c:pt>
                <c:pt idx="273">
                  <c:v>-7.1474516988033698E-2</c:v>
                </c:pt>
                <c:pt idx="274">
                  <c:v>-7.1719649317816755E-2</c:v>
                </c:pt>
                <c:pt idx="275">
                  <c:v>-9.553746521340338E-2</c:v>
                </c:pt>
                <c:pt idx="276">
                  <c:v>-0.10583827364298319</c:v>
                </c:pt>
                <c:pt idx="277">
                  <c:v>-0.11043106868325867</c:v>
                </c:pt>
                <c:pt idx="278">
                  <c:v>-8.2724014192030751E-2</c:v>
                </c:pt>
                <c:pt idx="279">
                  <c:v>-7.4585515108856429E-2</c:v>
                </c:pt>
                <c:pt idx="280">
                  <c:v>-0.1001768900010401</c:v>
                </c:pt>
                <c:pt idx="281">
                  <c:v>-9.5050255835684425E-2</c:v>
                </c:pt>
                <c:pt idx="282">
                  <c:v>-8.6226775640715833E-2</c:v>
                </c:pt>
                <c:pt idx="283">
                  <c:v>-6.5331987488517845E-2</c:v>
                </c:pt>
                <c:pt idx="284">
                  <c:v>-5.5193165398813276E-2</c:v>
                </c:pt>
                <c:pt idx="285">
                  <c:v>-7.3323881946688069E-2</c:v>
                </c:pt>
                <c:pt idx="286">
                  <c:v>-8.8067481270565462E-2</c:v>
                </c:pt>
                <c:pt idx="287">
                  <c:v>-9.3032017581561571E-2</c:v>
                </c:pt>
                <c:pt idx="288">
                  <c:v>-7.1209858789269984E-2</c:v>
                </c:pt>
                <c:pt idx="289">
                  <c:v>-0.10963516590422484</c:v>
                </c:pt>
                <c:pt idx="290">
                  <c:v>-0.11532282423440418</c:v>
                </c:pt>
                <c:pt idx="291">
                  <c:v>-0.10575814477750171</c:v>
                </c:pt>
                <c:pt idx="292">
                  <c:v>-0.10710284842639292</c:v>
                </c:pt>
                <c:pt idx="293">
                  <c:v>-0.10944938436089022</c:v>
                </c:pt>
                <c:pt idx="294">
                  <c:v>-0.1092803908945701</c:v>
                </c:pt>
                <c:pt idx="295">
                  <c:v>-0.11235949158443793</c:v>
                </c:pt>
                <c:pt idx="296">
                  <c:v>-0.10234307533726342</c:v>
                </c:pt>
                <c:pt idx="297">
                  <c:v>-0.11693136751145104</c:v>
                </c:pt>
                <c:pt idx="298">
                  <c:v>-0.12445882924187507</c:v>
                </c:pt>
                <c:pt idx="299">
                  <c:v>-0.12490442286367481</c:v>
                </c:pt>
                <c:pt idx="300">
                  <c:v>-0.10788201666468961</c:v>
                </c:pt>
                <c:pt idx="301">
                  <c:v>-0.1078147739629786</c:v>
                </c:pt>
                <c:pt idx="302">
                  <c:v>-0.1382522920554142</c:v>
                </c:pt>
                <c:pt idx="303">
                  <c:v>-0.13115964599630803</c:v>
                </c:pt>
                <c:pt idx="304">
                  <c:v>-0.12784230465903268</c:v>
                </c:pt>
                <c:pt idx="305">
                  <c:v>-0.11249832416497985</c:v>
                </c:pt>
                <c:pt idx="306">
                  <c:v>-0.10089571960859253</c:v>
                </c:pt>
                <c:pt idx="307">
                  <c:v>-9.7136668688795391E-2</c:v>
                </c:pt>
                <c:pt idx="308">
                  <c:v>-0.101825154367396</c:v>
                </c:pt>
                <c:pt idx="309">
                  <c:v>-9.3244468106758946E-2</c:v>
                </c:pt>
                <c:pt idx="310">
                  <c:v>-0.10863246455940732</c:v>
                </c:pt>
                <c:pt idx="311">
                  <c:v>-0.11525312712128977</c:v>
                </c:pt>
                <c:pt idx="312">
                  <c:v>-0.11225319295832671</c:v>
                </c:pt>
                <c:pt idx="313">
                  <c:v>-8.8327045486228842E-2</c:v>
                </c:pt>
                <c:pt idx="314">
                  <c:v>-8.0102990156800447E-2</c:v>
                </c:pt>
                <c:pt idx="315">
                  <c:v>-7.4952836895623168E-2</c:v>
                </c:pt>
                <c:pt idx="316">
                  <c:v>-7.9507094075401921E-2</c:v>
                </c:pt>
                <c:pt idx="317">
                  <c:v>-8.9573907879410497E-2</c:v>
                </c:pt>
                <c:pt idx="318">
                  <c:v>-7.5017981068619774E-2</c:v>
                </c:pt>
                <c:pt idx="319">
                  <c:v>-8.5614667775560052E-2</c:v>
                </c:pt>
                <c:pt idx="320">
                  <c:v>-8.3787084029213268E-2</c:v>
                </c:pt>
                <c:pt idx="321">
                  <c:v>-7.5655729222838419E-2</c:v>
                </c:pt>
                <c:pt idx="322">
                  <c:v>-8.8670227148706038E-2</c:v>
                </c:pt>
                <c:pt idx="323">
                  <c:v>-9.0403146549353053E-2</c:v>
                </c:pt>
                <c:pt idx="324">
                  <c:v>-8.2900905958983903E-2</c:v>
                </c:pt>
                <c:pt idx="325">
                  <c:v>-6.9436170609200043E-2</c:v>
                </c:pt>
                <c:pt idx="326">
                  <c:v>-5.819930779460869E-2</c:v>
                </c:pt>
                <c:pt idx="327">
                  <c:v>-6.8656097063122756E-2</c:v>
                </c:pt>
                <c:pt idx="328">
                  <c:v>-6.7578865303046173E-2</c:v>
                </c:pt>
                <c:pt idx="329">
                  <c:v>-7.2703944913474525E-2</c:v>
                </c:pt>
                <c:pt idx="330">
                  <c:v>-9.0700361084736641E-2</c:v>
                </c:pt>
                <c:pt idx="331">
                  <c:v>-9.5615814952821218E-2</c:v>
                </c:pt>
                <c:pt idx="332">
                  <c:v>-0.10019439784267337</c:v>
                </c:pt>
                <c:pt idx="333">
                  <c:v>-9.4572190863473862E-2</c:v>
                </c:pt>
                <c:pt idx="334">
                  <c:v>-7.7977870122865917E-2</c:v>
                </c:pt>
                <c:pt idx="335">
                  <c:v>-8.048049842535375E-2</c:v>
                </c:pt>
                <c:pt idx="336">
                  <c:v>-0.10079686944929467</c:v>
                </c:pt>
                <c:pt idx="337">
                  <c:v>-0.10732202062638636</c:v>
                </c:pt>
                <c:pt idx="338">
                  <c:v>-0.10838639025249321</c:v>
                </c:pt>
                <c:pt idx="339">
                  <c:v>-0.10291511362060971</c:v>
                </c:pt>
                <c:pt idx="340">
                  <c:v>-0.12051496090644541</c:v>
                </c:pt>
                <c:pt idx="341">
                  <c:v>-0.1187404413491811</c:v>
                </c:pt>
                <c:pt idx="342">
                  <c:v>-0.10557822120855707</c:v>
                </c:pt>
                <c:pt idx="343">
                  <c:v>-0.12233406504419589</c:v>
                </c:pt>
                <c:pt idx="344">
                  <c:v>-0.12535484357234106</c:v>
                </c:pt>
                <c:pt idx="345">
                  <c:v>-0.1288558013773442</c:v>
                </c:pt>
                <c:pt idx="346">
                  <c:v>-0.12402464769892721</c:v>
                </c:pt>
                <c:pt idx="347">
                  <c:v>-0.12166568653333833</c:v>
                </c:pt>
                <c:pt idx="348">
                  <c:v>-0.14409083640906906</c:v>
                </c:pt>
                <c:pt idx="349">
                  <c:v>-0.12882638239876698</c:v>
                </c:pt>
                <c:pt idx="350">
                  <c:v>-0.11756949529933418</c:v>
                </c:pt>
                <c:pt idx="351">
                  <c:v>-0.1273808059408803</c:v>
                </c:pt>
                <c:pt idx="352">
                  <c:v>-0.13431435810964454</c:v>
                </c:pt>
                <c:pt idx="353">
                  <c:v>-0.13280943561979411</c:v>
                </c:pt>
                <c:pt idx="354">
                  <c:v>-0.13509486385460456</c:v>
                </c:pt>
                <c:pt idx="355">
                  <c:v>-0.12345763303645788</c:v>
                </c:pt>
                <c:pt idx="356">
                  <c:v>-0.11616218075675286</c:v>
                </c:pt>
                <c:pt idx="357">
                  <c:v>-0.10117588131116273</c:v>
                </c:pt>
                <c:pt idx="358">
                  <c:v>-9.5432940292120169E-2</c:v>
                </c:pt>
                <c:pt idx="359">
                  <c:v>-0.10034631230276975</c:v>
                </c:pt>
                <c:pt idx="360">
                  <c:v>-9.1683404334001295E-2</c:v>
                </c:pt>
                <c:pt idx="361">
                  <c:v>-9.4731042198997847E-2</c:v>
                </c:pt>
                <c:pt idx="362">
                  <c:v>-9.2224729413953613E-2</c:v>
                </c:pt>
                <c:pt idx="363">
                  <c:v>-9.0808091955877385E-2</c:v>
                </c:pt>
                <c:pt idx="364">
                  <c:v>-9.7417533355156141E-2</c:v>
                </c:pt>
                <c:pt idx="365">
                  <c:v>-0.10940582518053708</c:v>
                </c:pt>
                <c:pt idx="366">
                  <c:v>-0.11458690758104594</c:v>
                </c:pt>
                <c:pt idx="367">
                  <c:v>-9.8890319763894632E-2</c:v>
                </c:pt>
                <c:pt idx="368">
                  <c:v>-9.4300337250329894E-2</c:v>
                </c:pt>
                <c:pt idx="369">
                  <c:v>-7.5531898739520931E-2</c:v>
                </c:pt>
                <c:pt idx="370">
                  <c:v>-7.0404439613513836E-2</c:v>
                </c:pt>
                <c:pt idx="371">
                  <c:v>-7.1046515520516579E-2</c:v>
                </c:pt>
                <c:pt idx="372">
                  <c:v>-8.7309069541257958E-2</c:v>
                </c:pt>
                <c:pt idx="373">
                  <c:v>-7.6290204851592006E-2</c:v>
                </c:pt>
                <c:pt idx="374">
                  <c:v>-9.6255310478561618E-2</c:v>
                </c:pt>
                <c:pt idx="375">
                  <c:v>-9.0437037685495547E-2</c:v>
                </c:pt>
                <c:pt idx="376">
                  <c:v>-9.43176251892614E-2</c:v>
                </c:pt>
                <c:pt idx="377">
                  <c:v>-0.11539605240174747</c:v>
                </c:pt>
                <c:pt idx="378">
                  <c:v>-0.10123130468792524</c:v>
                </c:pt>
                <c:pt idx="379">
                  <c:v>-0.10381741685585451</c:v>
                </c:pt>
                <c:pt idx="380">
                  <c:v>-0.1051509791799467</c:v>
                </c:pt>
                <c:pt idx="381">
                  <c:v>-0.10823655731402873</c:v>
                </c:pt>
                <c:pt idx="382">
                  <c:v>-0.10420651081409703</c:v>
                </c:pt>
                <c:pt idx="383">
                  <c:v>-0.10928181426150192</c:v>
                </c:pt>
                <c:pt idx="384">
                  <c:v>-0.11226854669410923</c:v>
                </c:pt>
                <c:pt idx="385">
                  <c:v>-0.12308537511804452</c:v>
                </c:pt>
                <c:pt idx="386">
                  <c:v>-0.14074448125137298</c:v>
                </c:pt>
                <c:pt idx="387">
                  <c:v>-0.13698354389256842</c:v>
                </c:pt>
                <c:pt idx="388">
                  <c:v>-0.14343815992550979</c:v>
                </c:pt>
                <c:pt idx="389">
                  <c:v>-0.15205571524644426</c:v>
                </c:pt>
                <c:pt idx="390">
                  <c:v>-0.14819524748528851</c:v>
                </c:pt>
                <c:pt idx="391">
                  <c:v>-0.14639806697002933</c:v>
                </c:pt>
                <c:pt idx="392">
                  <c:v>-0.14550025880111273</c:v>
                </c:pt>
                <c:pt idx="393">
                  <c:v>-0.15678308964473833</c:v>
                </c:pt>
                <c:pt idx="394">
                  <c:v>-0.16430275931129254</c:v>
                </c:pt>
                <c:pt idx="395">
                  <c:v>-0.15848881264137935</c:v>
                </c:pt>
                <c:pt idx="396">
                  <c:v>-0.16067230731544691</c:v>
                </c:pt>
                <c:pt idx="397">
                  <c:v>-0.15315384901610896</c:v>
                </c:pt>
                <c:pt idx="398">
                  <c:v>-0.15213702106953989</c:v>
                </c:pt>
                <c:pt idx="399">
                  <c:v>-0.15106608620613832</c:v>
                </c:pt>
                <c:pt idx="400">
                  <c:v>-0.15469482325120298</c:v>
                </c:pt>
                <c:pt idx="401">
                  <c:v>-0.14218924332242722</c:v>
                </c:pt>
                <c:pt idx="402">
                  <c:v>-0.14566090959143069</c:v>
                </c:pt>
                <c:pt idx="403">
                  <c:v>-0.16404210652666043</c:v>
                </c:pt>
                <c:pt idx="404">
                  <c:v>-0.16910392533981988</c:v>
                </c:pt>
                <c:pt idx="405">
                  <c:v>-0.167334547660833</c:v>
                </c:pt>
                <c:pt idx="406">
                  <c:v>-0.15384298680657749</c:v>
                </c:pt>
                <c:pt idx="407">
                  <c:v>-0.14501258875876222</c:v>
                </c:pt>
                <c:pt idx="408">
                  <c:v>-0.13821960186032037</c:v>
                </c:pt>
                <c:pt idx="409">
                  <c:v>-0.15247931937583237</c:v>
                </c:pt>
                <c:pt idx="410">
                  <c:v>-0.15534251197895646</c:v>
                </c:pt>
                <c:pt idx="411">
                  <c:v>-0.15225675804613617</c:v>
                </c:pt>
                <c:pt idx="412">
                  <c:v>-0.15957865250962697</c:v>
                </c:pt>
                <c:pt idx="413">
                  <c:v>-0.16124526274953355</c:v>
                </c:pt>
                <c:pt idx="414">
                  <c:v>-0.16037391341118451</c:v>
                </c:pt>
                <c:pt idx="415">
                  <c:v>-0.15939900599667436</c:v>
                </c:pt>
                <c:pt idx="416">
                  <c:v>-0.15702322288148829</c:v>
                </c:pt>
                <c:pt idx="417">
                  <c:v>-0.17096613459655041</c:v>
                </c:pt>
                <c:pt idx="418">
                  <c:v>-0.17680407085033778</c:v>
                </c:pt>
                <c:pt idx="419">
                  <c:v>-0.17685572373076347</c:v>
                </c:pt>
                <c:pt idx="420">
                  <c:v>-0.17856723364208357</c:v>
                </c:pt>
                <c:pt idx="421">
                  <c:v>-0.17219632392460707</c:v>
                </c:pt>
                <c:pt idx="422">
                  <c:v>-0.16997040322154697</c:v>
                </c:pt>
                <c:pt idx="423">
                  <c:v>-0.17589155522695546</c:v>
                </c:pt>
                <c:pt idx="424">
                  <c:v>-0.18258380531857688</c:v>
                </c:pt>
                <c:pt idx="425">
                  <c:v>-0.17908280039486144</c:v>
                </c:pt>
                <c:pt idx="426">
                  <c:v>-0.17400214960474497</c:v>
                </c:pt>
                <c:pt idx="427">
                  <c:v>-0.18347324258634726</c:v>
                </c:pt>
                <c:pt idx="428">
                  <c:v>-0.19510775738588051</c:v>
                </c:pt>
                <c:pt idx="429">
                  <c:v>-0.19430776323202148</c:v>
                </c:pt>
                <c:pt idx="430">
                  <c:v>-0.19295645454677884</c:v>
                </c:pt>
                <c:pt idx="431">
                  <c:v>-0.18474312206570501</c:v>
                </c:pt>
                <c:pt idx="432">
                  <c:v>-0.18742862474473712</c:v>
                </c:pt>
                <c:pt idx="433">
                  <c:v>-0.18854118923678725</c:v>
                </c:pt>
                <c:pt idx="434">
                  <c:v>-0.19102784479161908</c:v>
                </c:pt>
                <c:pt idx="435">
                  <c:v>-0.19323355989698054</c:v>
                </c:pt>
                <c:pt idx="436">
                  <c:v>-0.18088026250798236</c:v>
                </c:pt>
                <c:pt idx="437">
                  <c:v>-0.19354306715604355</c:v>
                </c:pt>
                <c:pt idx="438">
                  <c:v>-0.18522821907792902</c:v>
                </c:pt>
                <c:pt idx="439">
                  <c:v>-0.181711029481532</c:v>
                </c:pt>
                <c:pt idx="440">
                  <c:v>-0.18014003744600454</c:v>
                </c:pt>
                <c:pt idx="441">
                  <c:v>-0.18321943523319009</c:v>
                </c:pt>
                <c:pt idx="442">
                  <c:v>-0.17688882548803175</c:v>
                </c:pt>
                <c:pt idx="443">
                  <c:v>-0.17216490047230293</c:v>
                </c:pt>
                <c:pt idx="444">
                  <c:v>-0.1767432921850127</c:v>
                </c:pt>
                <c:pt idx="445">
                  <c:v>-0.17769338968334517</c:v>
                </c:pt>
                <c:pt idx="446">
                  <c:v>-0.18405187060323147</c:v>
                </c:pt>
                <c:pt idx="447">
                  <c:v>-0.19200609508558908</c:v>
                </c:pt>
                <c:pt idx="448">
                  <c:v>-0.19173963109218178</c:v>
                </c:pt>
                <c:pt idx="449">
                  <c:v>-0.19007064902014581</c:v>
                </c:pt>
                <c:pt idx="450">
                  <c:v>-0.18080192837241049</c:v>
                </c:pt>
                <c:pt idx="451">
                  <c:v>-0.17687321252687854</c:v>
                </c:pt>
                <c:pt idx="452">
                  <c:v>-0.17375761799692535</c:v>
                </c:pt>
                <c:pt idx="453">
                  <c:v>-0.17953296420212742</c:v>
                </c:pt>
                <c:pt idx="454">
                  <c:v>-0.18186026597644353</c:v>
                </c:pt>
                <c:pt idx="455">
                  <c:v>-0.18813760528841222</c:v>
                </c:pt>
                <c:pt idx="456">
                  <c:v>-0.19662448621000519</c:v>
                </c:pt>
                <c:pt idx="457">
                  <c:v>-0.20164600161228871</c:v>
                </c:pt>
                <c:pt idx="458">
                  <c:v>-0.21126111299508574</c:v>
                </c:pt>
                <c:pt idx="459">
                  <c:v>-0.20990047367995046</c:v>
                </c:pt>
                <c:pt idx="460">
                  <c:v>-0.20724811122535353</c:v>
                </c:pt>
                <c:pt idx="461">
                  <c:v>-0.20710615719404377</c:v>
                </c:pt>
                <c:pt idx="462">
                  <c:v>-0.21588039475287826</c:v>
                </c:pt>
                <c:pt idx="463">
                  <c:v>-0.21912019159563453</c:v>
                </c:pt>
                <c:pt idx="464">
                  <c:v>-0.22069148650808065</c:v>
                </c:pt>
                <c:pt idx="465">
                  <c:v>-0.21543636313145598</c:v>
                </c:pt>
                <c:pt idx="466">
                  <c:v>-0.22101679959237577</c:v>
                </c:pt>
                <c:pt idx="467">
                  <c:v>-0.22662127021471565</c:v>
                </c:pt>
                <c:pt idx="468">
                  <c:v>-0.22326854202809637</c:v>
                </c:pt>
                <c:pt idx="469">
                  <c:v>-0.21150253780088163</c:v>
                </c:pt>
                <c:pt idx="470">
                  <c:v>-0.21486486633783439</c:v>
                </c:pt>
                <c:pt idx="471">
                  <c:v>-0.21443182419942095</c:v>
                </c:pt>
                <c:pt idx="472">
                  <c:v>-0.22250346266887477</c:v>
                </c:pt>
                <c:pt idx="473">
                  <c:v>-0.21880073851205029</c:v>
                </c:pt>
                <c:pt idx="474">
                  <c:v>-0.21417533600937355</c:v>
                </c:pt>
                <c:pt idx="475">
                  <c:v>-0.21553205877993992</c:v>
                </c:pt>
                <c:pt idx="476">
                  <c:v>-0.21915099720069436</c:v>
                </c:pt>
                <c:pt idx="477">
                  <c:v>-0.2240544538218609</c:v>
                </c:pt>
                <c:pt idx="478">
                  <c:v>-0.21171365418953525</c:v>
                </c:pt>
                <c:pt idx="479">
                  <c:v>-0.20565468878372195</c:v>
                </c:pt>
                <c:pt idx="480">
                  <c:v>-0.20365314758833725</c:v>
                </c:pt>
                <c:pt idx="481">
                  <c:v>-0.20453512620207992</c:v>
                </c:pt>
                <c:pt idx="482">
                  <c:v>-0.20668067972840815</c:v>
                </c:pt>
                <c:pt idx="483">
                  <c:v>-0.2018523344123638</c:v>
                </c:pt>
                <c:pt idx="484">
                  <c:v>-0.20675311247212347</c:v>
                </c:pt>
                <c:pt idx="485">
                  <c:v>-0.19833860088572394</c:v>
                </c:pt>
                <c:pt idx="486">
                  <c:v>-0.20290317084262785</c:v>
                </c:pt>
                <c:pt idx="487">
                  <c:v>-0.20722752875747011</c:v>
                </c:pt>
                <c:pt idx="488">
                  <c:v>-0.21638541246380827</c:v>
                </c:pt>
                <c:pt idx="489">
                  <c:v>-0.21854894995144603</c:v>
                </c:pt>
                <c:pt idx="490">
                  <c:v>-0.21195939669719394</c:v>
                </c:pt>
                <c:pt idx="491">
                  <c:v>-0.21545902717136084</c:v>
                </c:pt>
                <c:pt idx="492">
                  <c:v>-0.21765046404097182</c:v>
                </c:pt>
                <c:pt idx="493">
                  <c:v>-0.21559800031127185</c:v>
                </c:pt>
                <c:pt idx="494">
                  <c:v>-0.21555710062528685</c:v>
                </c:pt>
                <c:pt idx="495">
                  <c:v>-0.22053835061357893</c:v>
                </c:pt>
                <c:pt idx="496">
                  <c:v>-0.22110975377591074</c:v>
                </c:pt>
                <c:pt idx="497">
                  <c:v>-0.2229629676028228</c:v>
                </c:pt>
                <c:pt idx="498">
                  <c:v>-0.22516610265355255</c:v>
                </c:pt>
                <c:pt idx="499">
                  <c:v>-0.23481932951272891</c:v>
                </c:pt>
                <c:pt idx="500">
                  <c:v>-0.22823648758179382</c:v>
                </c:pt>
                <c:pt idx="501">
                  <c:v>-0.22995573806236388</c:v>
                </c:pt>
                <c:pt idx="502">
                  <c:v>-0.22723814713019827</c:v>
                </c:pt>
                <c:pt idx="503">
                  <c:v>-0.22018561939731152</c:v>
                </c:pt>
                <c:pt idx="504">
                  <c:v>-0.21496894137646558</c:v>
                </c:pt>
                <c:pt idx="505">
                  <c:v>-0.21375228863195617</c:v>
                </c:pt>
                <c:pt idx="506">
                  <c:v>-0.21885641838434158</c:v>
                </c:pt>
                <c:pt idx="507">
                  <c:v>-0.2101740464531498</c:v>
                </c:pt>
                <c:pt idx="508">
                  <c:v>-0.21825915002262389</c:v>
                </c:pt>
                <c:pt idx="509">
                  <c:v>-0.22368135621675767</c:v>
                </c:pt>
                <c:pt idx="510">
                  <c:v>-0.2159487353937371</c:v>
                </c:pt>
                <c:pt idx="511">
                  <c:v>-0.22192267254016793</c:v>
                </c:pt>
                <c:pt idx="512">
                  <c:v>-0.21324891902870421</c:v>
                </c:pt>
                <c:pt idx="513">
                  <c:v>-0.21421394218953965</c:v>
                </c:pt>
                <c:pt idx="514">
                  <c:v>-0.21295244145161007</c:v>
                </c:pt>
                <c:pt idx="515">
                  <c:v>-0.22190960384997233</c:v>
                </c:pt>
                <c:pt idx="516">
                  <c:v>-0.22947310570395343</c:v>
                </c:pt>
                <c:pt idx="517">
                  <c:v>-0.22799744878644562</c:v>
                </c:pt>
                <c:pt idx="518">
                  <c:v>-0.22738466665020141</c:v>
                </c:pt>
                <c:pt idx="519">
                  <c:v>-0.22504850044664679</c:v>
                </c:pt>
                <c:pt idx="520">
                  <c:v>-0.23269030430408075</c:v>
                </c:pt>
                <c:pt idx="521">
                  <c:v>-0.23643719933344348</c:v>
                </c:pt>
                <c:pt idx="522">
                  <c:v>-0.23810068649321678</c:v>
                </c:pt>
                <c:pt idx="523">
                  <c:v>-0.23550136301404256</c:v>
                </c:pt>
                <c:pt idx="524">
                  <c:v>-0.23398046964942446</c:v>
                </c:pt>
                <c:pt idx="525">
                  <c:v>-0.22286621347196511</c:v>
                </c:pt>
                <c:pt idx="526">
                  <c:v>-0.21904234176507262</c:v>
                </c:pt>
                <c:pt idx="527">
                  <c:v>-0.22190035462443625</c:v>
                </c:pt>
                <c:pt idx="528">
                  <c:v>-0.21113753838066918</c:v>
                </c:pt>
                <c:pt idx="529">
                  <c:v>-0.1990912941554317</c:v>
                </c:pt>
                <c:pt idx="530">
                  <c:v>-0.18964495278136406</c:v>
                </c:pt>
                <c:pt idx="531">
                  <c:v>-0.20041016545652063</c:v>
                </c:pt>
                <c:pt idx="532">
                  <c:v>-0.20381307160391871</c:v>
                </c:pt>
                <c:pt idx="533">
                  <c:v>-0.2088278776619471</c:v>
                </c:pt>
                <c:pt idx="534">
                  <c:v>-0.22026689161568266</c:v>
                </c:pt>
                <c:pt idx="535">
                  <c:v>-0.2224423709506419</c:v>
                </c:pt>
                <c:pt idx="536">
                  <c:v>-0.22455240739178514</c:v>
                </c:pt>
                <c:pt idx="537">
                  <c:v>-0.22586133143744683</c:v>
                </c:pt>
                <c:pt idx="538">
                  <c:v>-0.22653762340649769</c:v>
                </c:pt>
                <c:pt idx="539">
                  <c:v>-0.2237903309812253</c:v>
                </c:pt>
                <c:pt idx="540">
                  <c:v>-0.23438918359994543</c:v>
                </c:pt>
                <c:pt idx="541">
                  <c:v>-0.23385707303191777</c:v>
                </c:pt>
                <c:pt idx="542">
                  <c:v>-0.23983658492149082</c:v>
                </c:pt>
                <c:pt idx="543">
                  <c:v>-0.24083777296547793</c:v>
                </c:pt>
                <c:pt idx="544">
                  <c:v>-0.24635442370189631</c:v>
                </c:pt>
                <c:pt idx="545">
                  <c:v>-0.245929534774942</c:v>
                </c:pt>
                <c:pt idx="546">
                  <c:v>-0.24947513000182356</c:v>
                </c:pt>
                <c:pt idx="547">
                  <c:v>-0.24937388992171403</c:v>
                </c:pt>
                <c:pt idx="548">
                  <c:v>-0.25377286724540765</c:v>
                </c:pt>
                <c:pt idx="549">
                  <c:v>-0.25354636595905056</c:v>
                </c:pt>
                <c:pt idx="550">
                  <c:v>-0.2515214884677584</c:v>
                </c:pt>
                <c:pt idx="551">
                  <c:v>-0.25340271744959353</c:v>
                </c:pt>
                <c:pt idx="552">
                  <c:v>-0.24636861262037688</c:v>
                </c:pt>
                <c:pt idx="553">
                  <c:v>-0.25079034014486301</c:v>
                </c:pt>
                <c:pt idx="554">
                  <c:v>-0.24828906392516781</c:v>
                </c:pt>
                <c:pt idx="555">
                  <c:v>-0.24366331919221182</c:v>
                </c:pt>
                <c:pt idx="556">
                  <c:v>-0.24455450791095976</c:v>
                </c:pt>
                <c:pt idx="557">
                  <c:v>-0.23806228756556563</c:v>
                </c:pt>
                <c:pt idx="558">
                  <c:v>-0.24568941033319641</c:v>
                </c:pt>
                <c:pt idx="559">
                  <c:v>-0.24860750689477176</c:v>
                </c:pt>
                <c:pt idx="560">
                  <c:v>-0.24448010640461404</c:v>
                </c:pt>
                <c:pt idx="561">
                  <c:v>-0.24432394291544421</c:v>
                </c:pt>
                <c:pt idx="562">
                  <c:v>-0.24712707106210008</c:v>
                </c:pt>
                <c:pt idx="563">
                  <c:v>-0.24540404992407772</c:v>
                </c:pt>
                <c:pt idx="564">
                  <c:v>-0.24733759003691499</c:v>
                </c:pt>
                <c:pt idx="565">
                  <c:v>-0.25235685558856324</c:v>
                </c:pt>
                <c:pt idx="566">
                  <c:v>-0.25674514131729276</c:v>
                </c:pt>
                <c:pt idx="567">
                  <c:v>-0.25093042633175716</c:v>
                </c:pt>
                <c:pt idx="568">
                  <c:v>-0.2570043277334203</c:v>
                </c:pt>
                <c:pt idx="569">
                  <c:v>-0.2588236687710746</c:v>
                </c:pt>
                <c:pt idx="570">
                  <c:v>-0.26001982046916589</c:v>
                </c:pt>
                <c:pt idx="571">
                  <c:v>-0.25953281991913207</c:v>
                </c:pt>
                <c:pt idx="572">
                  <c:v>-0.25907686601212221</c:v>
                </c:pt>
                <c:pt idx="573">
                  <c:v>-0.25875502066908396</c:v>
                </c:pt>
                <c:pt idx="574">
                  <c:v>-0.26374528512407047</c:v>
                </c:pt>
                <c:pt idx="575">
                  <c:v>-0.26574519388586676</c:v>
                </c:pt>
                <c:pt idx="576">
                  <c:v>-0.2625477145477052</c:v>
                </c:pt>
                <c:pt idx="577">
                  <c:v>-0.26073185016060341</c:v>
                </c:pt>
                <c:pt idx="578">
                  <c:v>-0.26381382445880508</c:v>
                </c:pt>
                <c:pt idx="579">
                  <c:v>-0.26394041197962426</c:v>
                </c:pt>
                <c:pt idx="580">
                  <c:v>-0.26665823569247904</c:v>
                </c:pt>
                <c:pt idx="581">
                  <c:v>-0.26706555180106878</c:v>
                </c:pt>
                <c:pt idx="582">
                  <c:v>-0.26478500627629659</c:v>
                </c:pt>
                <c:pt idx="583">
                  <c:v>-0.2602984760951641</c:v>
                </c:pt>
                <c:pt idx="584">
                  <c:v>-0.25867576819892452</c:v>
                </c:pt>
                <c:pt idx="585">
                  <c:v>-0.25996798857240605</c:v>
                </c:pt>
                <c:pt idx="586">
                  <c:v>-0.26365063903302849</c:v>
                </c:pt>
                <c:pt idx="587">
                  <c:v>-0.26480136373312446</c:v>
                </c:pt>
                <c:pt idx="588">
                  <c:v>-0.26810658839272794</c:v>
                </c:pt>
                <c:pt idx="589">
                  <c:v>-0.27421066704227576</c:v>
                </c:pt>
                <c:pt idx="590">
                  <c:v>-0.27786977864257234</c:v>
                </c:pt>
                <c:pt idx="591">
                  <c:v>-0.28133067142988177</c:v>
                </c:pt>
                <c:pt idx="592">
                  <c:v>-0.2855319414473384</c:v>
                </c:pt>
                <c:pt idx="593">
                  <c:v>-0.28814202675322848</c:v>
                </c:pt>
                <c:pt idx="594">
                  <c:v>-0.27053019882340018</c:v>
                </c:pt>
                <c:pt idx="595">
                  <c:v>-0.27141761363782996</c:v>
                </c:pt>
                <c:pt idx="596">
                  <c:v>-0.2764099684179997</c:v>
                </c:pt>
                <c:pt idx="597">
                  <c:v>-0.27286832780140863</c:v>
                </c:pt>
                <c:pt idx="598">
                  <c:v>-0.27691015857437773</c:v>
                </c:pt>
                <c:pt idx="599">
                  <c:v>-0.28399806896659296</c:v>
                </c:pt>
                <c:pt idx="600">
                  <c:v>-0.28645725875186723</c:v>
                </c:pt>
                <c:pt idx="601">
                  <c:v>-0.28818468690692889</c:v>
                </c:pt>
                <c:pt idx="602">
                  <c:v>-0.28735420873196155</c:v>
                </c:pt>
                <c:pt idx="603">
                  <c:v>-0.2791661138050659</c:v>
                </c:pt>
                <c:pt idx="604">
                  <c:v>-0.2820963418618937</c:v>
                </c:pt>
                <c:pt idx="605">
                  <c:v>-0.28602680151341953</c:v>
                </c:pt>
                <c:pt idx="606">
                  <c:v>-0.28237736405592717</c:v>
                </c:pt>
                <c:pt idx="607">
                  <c:v>-0.28158116973732317</c:v>
                </c:pt>
                <c:pt idx="608">
                  <c:v>-0.28686840411101072</c:v>
                </c:pt>
                <c:pt idx="609">
                  <c:v>-0.2944696358555639</c:v>
                </c:pt>
                <c:pt idx="610">
                  <c:v>-0.29353997475297344</c:v>
                </c:pt>
                <c:pt idx="611">
                  <c:v>-0.2855588161644565</c:v>
                </c:pt>
                <c:pt idx="612">
                  <c:v>-0.28333807186042892</c:v>
                </c:pt>
                <c:pt idx="613">
                  <c:v>-0.27755941835425946</c:v>
                </c:pt>
                <c:pt idx="614">
                  <c:v>-0.28201099222413439</c:v>
                </c:pt>
                <c:pt idx="615">
                  <c:v>-0.28127187177663743</c:v>
                </c:pt>
                <c:pt idx="616">
                  <c:v>-0.27373466168857657</c:v>
                </c:pt>
                <c:pt idx="617">
                  <c:v>-0.26909126025607455</c:v>
                </c:pt>
                <c:pt idx="618">
                  <c:v>-0.26960366435004912</c:v>
                </c:pt>
                <c:pt idx="619">
                  <c:v>-0.27677506884441289</c:v>
                </c:pt>
                <c:pt idx="620">
                  <c:v>-0.27834580426472733</c:v>
                </c:pt>
                <c:pt idx="621">
                  <c:v>-0.28472728673335118</c:v>
                </c:pt>
                <c:pt idx="622">
                  <c:v>-0.28958334004907937</c:v>
                </c:pt>
                <c:pt idx="623">
                  <c:v>-0.29316000904134243</c:v>
                </c:pt>
                <c:pt idx="624">
                  <c:v>-0.29998323089950701</c:v>
                </c:pt>
                <c:pt idx="625">
                  <c:v>-0.29709629542301669</c:v>
                </c:pt>
                <c:pt idx="626">
                  <c:v>-0.30552253058079121</c:v>
                </c:pt>
                <c:pt idx="627">
                  <c:v>-0.30978137945222173</c:v>
                </c:pt>
                <c:pt idx="628">
                  <c:v>-0.31453581878078818</c:v>
                </c:pt>
                <c:pt idx="629">
                  <c:v>-0.31657242936178975</c:v>
                </c:pt>
                <c:pt idx="630">
                  <c:v>-0.31709379085258987</c:v>
                </c:pt>
                <c:pt idx="631">
                  <c:v>-0.31350868543835536</c:v>
                </c:pt>
                <c:pt idx="632">
                  <c:v>-0.3150547213745008</c:v>
                </c:pt>
                <c:pt idx="633">
                  <c:v>-0.319397495089567</c:v>
                </c:pt>
                <c:pt idx="634">
                  <c:v>-0.32167825752140539</c:v>
                </c:pt>
                <c:pt idx="635">
                  <c:v>-0.3254335963879833</c:v>
                </c:pt>
                <c:pt idx="636">
                  <c:v>-0.31686665128161379</c:v>
                </c:pt>
                <c:pt idx="637">
                  <c:v>-0.31698328910689949</c:v>
                </c:pt>
                <c:pt idx="638">
                  <c:v>-0.31027239541382451</c:v>
                </c:pt>
                <c:pt idx="639">
                  <c:v>-0.3177764331999326</c:v>
                </c:pt>
                <c:pt idx="640">
                  <c:v>-0.31940775835359675</c:v>
                </c:pt>
                <c:pt idx="641">
                  <c:v>-0.32235510906862286</c:v>
                </c:pt>
                <c:pt idx="642">
                  <c:v>-0.31804177378882204</c:v>
                </c:pt>
                <c:pt idx="643">
                  <c:v>-0.3192733699339374</c:v>
                </c:pt>
                <c:pt idx="644">
                  <c:v>-0.30406886186467241</c:v>
                </c:pt>
                <c:pt idx="645">
                  <c:v>-0.30000321807772812</c:v>
                </c:pt>
                <c:pt idx="646">
                  <c:v>-0.30404396326221922</c:v>
                </c:pt>
                <c:pt idx="647">
                  <c:v>-0.30640098288943779</c:v>
                </c:pt>
                <c:pt idx="648">
                  <c:v>-0.30904009082990236</c:v>
                </c:pt>
                <c:pt idx="649">
                  <c:v>-0.31268067299740371</c:v>
                </c:pt>
                <c:pt idx="650">
                  <c:v>-0.31586211710193152</c:v>
                </c:pt>
                <c:pt idx="651">
                  <c:v>-0.32084611174760569</c:v>
                </c:pt>
                <c:pt idx="652">
                  <c:v>-0.32307410743332993</c:v>
                </c:pt>
                <c:pt idx="653">
                  <c:v>-0.31927457126675612</c:v>
                </c:pt>
                <c:pt idx="654">
                  <c:v>-0.33094412140530693</c:v>
                </c:pt>
                <c:pt idx="655">
                  <c:v>-0.32491954080608715</c:v>
                </c:pt>
                <c:pt idx="656">
                  <c:v>-0.31352178344082599</c:v>
                </c:pt>
                <c:pt idx="657">
                  <c:v>-0.31392907390858948</c:v>
                </c:pt>
                <c:pt idx="658">
                  <c:v>-0.31976338159093787</c:v>
                </c:pt>
                <c:pt idx="659">
                  <c:v>-0.32197214557570031</c:v>
                </c:pt>
                <c:pt idx="660">
                  <c:v>-0.32737551544962618</c:v>
                </c:pt>
                <c:pt idx="661">
                  <c:v>-0.32939354393350651</c:v>
                </c:pt>
                <c:pt idx="662">
                  <c:v>-0.33155390093888498</c:v>
                </c:pt>
                <c:pt idx="663">
                  <c:v>-0.33742799792104289</c:v>
                </c:pt>
                <c:pt idx="664">
                  <c:v>-0.33897266164780737</c:v>
                </c:pt>
                <c:pt idx="665">
                  <c:v>-0.33867604638199594</c:v>
                </c:pt>
                <c:pt idx="666">
                  <c:v>-0.34367358311608232</c:v>
                </c:pt>
                <c:pt idx="667">
                  <c:v>-0.34990899147476445</c:v>
                </c:pt>
                <c:pt idx="668">
                  <c:v>-0.35089674792277326</c:v>
                </c:pt>
                <c:pt idx="669">
                  <c:v>-0.35626317059877782</c:v>
                </c:pt>
                <c:pt idx="670">
                  <c:v>-0.34947424081175649</c:v>
                </c:pt>
                <c:pt idx="671">
                  <c:v>-0.35451509448890262</c:v>
                </c:pt>
                <c:pt idx="672">
                  <c:v>-0.34991413561082008</c:v>
                </c:pt>
                <c:pt idx="673">
                  <c:v>-0.34239328985405504</c:v>
                </c:pt>
                <c:pt idx="674">
                  <c:v>-0.34459098221473522</c:v>
                </c:pt>
                <c:pt idx="675">
                  <c:v>-0.34536657419997036</c:v>
                </c:pt>
                <c:pt idx="676">
                  <c:v>-0.33717544481420225</c:v>
                </c:pt>
                <c:pt idx="677">
                  <c:v>-0.33001742075923096</c:v>
                </c:pt>
                <c:pt idx="678">
                  <c:v>-0.34009101599677927</c:v>
                </c:pt>
                <c:pt idx="679">
                  <c:v>-0.33687378969528325</c:v>
                </c:pt>
                <c:pt idx="680">
                  <c:v>-0.33640262424358774</c:v>
                </c:pt>
                <c:pt idx="681">
                  <c:v>-0.33873916840969176</c:v>
                </c:pt>
                <c:pt idx="682">
                  <c:v>-0.34031809716054223</c:v>
                </c:pt>
                <c:pt idx="683">
                  <c:v>-0.33596439535494071</c:v>
                </c:pt>
                <c:pt idx="684">
                  <c:v>-0.33908820913795945</c:v>
                </c:pt>
                <c:pt idx="685">
                  <c:v>-0.33745580886041066</c:v>
                </c:pt>
                <c:pt idx="686">
                  <c:v>-0.33654638372535356</c:v>
                </c:pt>
                <c:pt idx="687">
                  <c:v>-0.3362256540294119</c:v>
                </c:pt>
                <c:pt idx="688">
                  <c:v>-0.33664723957484782</c:v>
                </c:pt>
                <c:pt idx="689">
                  <c:v>-0.33703201748017192</c:v>
                </c:pt>
                <c:pt idx="690">
                  <c:v>-0.33514141338954179</c:v>
                </c:pt>
                <c:pt idx="691">
                  <c:v>-0.34074894135708633</c:v>
                </c:pt>
                <c:pt idx="692">
                  <c:v>-0.34109374725956559</c:v>
                </c:pt>
                <c:pt idx="693">
                  <c:v>-0.34767733481175489</c:v>
                </c:pt>
                <c:pt idx="694">
                  <c:v>-0.35038267498983944</c:v>
                </c:pt>
                <c:pt idx="695">
                  <c:v>-0.3501376233171869</c:v>
                </c:pt>
                <c:pt idx="696">
                  <c:v>-0.35373908863083781</c:v>
                </c:pt>
                <c:pt idx="697">
                  <c:v>-0.3577229789879714</c:v>
                </c:pt>
                <c:pt idx="698">
                  <c:v>-0.35908481549652033</c:v>
                </c:pt>
                <c:pt idx="699">
                  <c:v>-0.36348297935654506</c:v>
                </c:pt>
                <c:pt idx="700">
                  <c:v>-0.36267938160876179</c:v>
                </c:pt>
                <c:pt idx="701">
                  <c:v>-0.36395360566258639</c:v>
                </c:pt>
                <c:pt idx="702">
                  <c:v>-0.36177729329069774</c:v>
                </c:pt>
                <c:pt idx="703">
                  <c:v>-0.36067870545544478</c:v>
                </c:pt>
                <c:pt idx="704">
                  <c:v>-0.36746630991127704</c:v>
                </c:pt>
                <c:pt idx="705">
                  <c:v>-0.3625636293824655</c:v>
                </c:pt>
                <c:pt idx="706">
                  <c:v>-0.36214862662470998</c:v>
                </c:pt>
                <c:pt idx="707">
                  <c:v>-0.36945319763024997</c:v>
                </c:pt>
                <c:pt idx="708">
                  <c:v>-0.37714081919658465</c:v>
                </c:pt>
                <c:pt idx="709">
                  <c:v>-0.38232616681555182</c:v>
                </c:pt>
                <c:pt idx="710">
                  <c:v>-0.37431785768330167</c:v>
                </c:pt>
                <c:pt idx="711">
                  <c:v>-0.37052220038787909</c:v>
                </c:pt>
                <c:pt idx="712">
                  <c:v>-0.37284007986929857</c:v>
                </c:pt>
                <c:pt idx="713">
                  <c:v>-0.37057074465954909</c:v>
                </c:pt>
                <c:pt idx="714">
                  <c:v>-0.36105028919027132</c:v>
                </c:pt>
                <c:pt idx="715">
                  <c:v>-0.35642048857964653</c:v>
                </c:pt>
                <c:pt idx="716">
                  <c:v>-0.36261124848035342</c:v>
                </c:pt>
                <c:pt idx="717">
                  <c:v>-0.36208193598969074</c:v>
                </c:pt>
                <c:pt idx="718">
                  <c:v>-0.36843496892358391</c:v>
                </c:pt>
                <c:pt idx="719">
                  <c:v>-0.36696921711278585</c:v>
                </c:pt>
                <c:pt idx="720">
                  <c:v>-0.36052983854320403</c:v>
                </c:pt>
                <c:pt idx="721">
                  <c:v>-0.35265718441951066</c:v>
                </c:pt>
                <c:pt idx="722">
                  <c:v>-0.33255623025136022</c:v>
                </c:pt>
                <c:pt idx="723">
                  <c:v>-0.33576703180249912</c:v>
                </c:pt>
                <c:pt idx="724">
                  <c:v>-0.337163546571008</c:v>
                </c:pt>
                <c:pt idx="725">
                  <c:v>-0.34599930896136361</c:v>
                </c:pt>
                <c:pt idx="726">
                  <c:v>-0.34878688323613871</c:v>
                </c:pt>
                <c:pt idx="727">
                  <c:v>-0.34984990499222268</c:v>
                </c:pt>
                <c:pt idx="728">
                  <c:v>-0.35546208539579321</c:v>
                </c:pt>
                <c:pt idx="729">
                  <c:v>-0.35708549429454806</c:v>
                </c:pt>
                <c:pt idx="730">
                  <c:v>-0.36090725610081487</c:v>
                </c:pt>
                <c:pt idx="731">
                  <c:v>-0.36183706113057573</c:v>
                </c:pt>
                <c:pt idx="732">
                  <c:v>-0.36711276771748691</c:v>
                </c:pt>
                <c:pt idx="733">
                  <c:v>-0.36397253117796963</c:v>
                </c:pt>
                <c:pt idx="734">
                  <c:v>-0.3614213145369648</c:v>
                </c:pt>
                <c:pt idx="735">
                  <c:v>-0.35950404297394506</c:v>
                </c:pt>
                <c:pt idx="736">
                  <c:v>-0.36530149283634328</c:v>
                </c:pt>
                <c:pt idx="737">
                  <c:v>-0.36840988434935074</c:v>
                </c:pt>
                <c:pt idx="738">
                  <c:v>-0.36679253312990528</c:v>
                </c:pt>
                <c:pt idx="739">
                  <c:v>-0.36401630798218559</c:v>
                </c:pt>
                <c:pt idx="740">
                  <c:v>-0.36686487178113564</c:v>
                </c:pt>
                <c:pt idx="741">
                  <c:v>-0.37028732707322098</c:v>
                </c:pt>
                <c:pt idx="742">
                  <c:v>-0.35961442252036346</c:v>
                </c:pt>
                <c:pt idx="743">
                  <c:v>-0.35771317479684617</c:v>
                </c:pt>
                <c:pt idx="744">
                  <c:v>-0.35430556879914643</c:v>
                </c:pt>
                <c:pt idx="745">
                  <c:v>-0.34330375139875824</c:v>
                </c:pt>
                <c:pt idx="746">
                  <c:v>-0.34755430745632548</c:v>
                </c:pt>
                <c:pt idx="747">
                  <c:v>-0.33917757078110883</c:v>
                </c:pt>
                <c:pt idx="748">
                  <c:v>-0.34179079289538578</c:v>
                </c:pt>
                <c:pt idx="749">
                  <c:v>-0.34709578533745566</c:v>
                </c:pt>
                <c:pt idx="750">
                  <c:v>-0.35022884123871156</c:v>
                </c:pt>
                <c:pt idx="751">
                  <c:v>-0.35428400016639516</c:v>
                </c:pt>
                <c:pt idx="752">
                  <c:v>-0.35645598144401541</c:v>
                </c:pt>
                <c:pt idx="753">
                  <c:v>-0.35554150060555656</c:v>
                </c:pt>
                <c:pt idx="754">
                  <c:v>-0.36228924920772138</c:v>
                </c:pt>
                <c:pt idx="755">
                  <c:v>-0.36151584434617773</c:v>
                </c:pt>
                <c:pt idx="756">
                  <c:v>-0.36175016797137005</c:v>
                </c:pt>
                <c:pt idx="757">
                  <c:v>-0.36096139179784992</c:v>
                </c:pt>
                <c:pt idx="758">
                  <c:v>-0.35805674034638357</c:v>
                </c:pt>
                <c:pt idx="759">
                  <c:v>-0.35597431007033226</c:v>
                </c:pt>
                <c:pt idx="760">
                  <c:v>-0.36129473143328522</c:v>
                </c:pt>
                <c:pt idx="761">
                  <c:v>-0.36579322390760599</c:v>
                </c:pt>
                <c:pt idx="762">
                  <c:v>-0.36398823601127905</c:v>
                </c:pt>
                <c:pt idx="763">
                  <c:v>-0.36579065297394719</c:v>
                </c:pt>
                <c:pt idx="764">
                  <c:v>-0.36552256085968188</c:v>
                </c:pt>
                <c:pt idx="765">
                  <c:v>-0.37260383637853695</c:v>
                </c:pt>
                <c:pt idx="766">
                  <c:v>-0.36618770284288765</c:v>
                </c:pt>
                <c:pt idx="767">
                  <c:v>-0.36483693654577548</c:v>
                </c:pt>
                <c:pt idx="768">
                  <c:v>-0.36741581750108215</c:v>
                </c:pt>
                <c:pt idx="769">
                  <c:v>-0.36920604203575502</c:v>
                </c:pt>
                <c:pt idx="770">
                  <c:v>-0.37616131719630236</c:v>
                </c:pt>
                <c:pt idx="771">
                  <c:v>-0.37983331672857706</c:v>
                </c:pt>
                <c:pt idx="772">
                  <c:v>-0.36580627342756988</c:v>
                </c:pt>
                <c:pt idx="773">
                  <c:v>-0.36915266031640626</c:v>
                </c:pt>
                <c:pt idx="774">
                  <c:v>-0.36653241189356867</c:v>
                </c:pt>
                <c:pt idx="775">
                  <c:v>-0.36832296786345525</c:v>
                </c:pt>
                <c:pt idx="776">
                  <c:v>-0.36815923042549076</c:v>
                </c:pt>
                <c:pt idx="777">
                  <c:v>-0.37247751496613962</c:v>
                </c:pt>
                <c:pt idx="778">
                  <c:v>-0.3677813155183694</c:v>
                </c:pt>
                <c:pt idx="779">
                  <c:v>-0.36708405618526962</c:v>
                </c:pt>
                <c:pt idx="780">
                  <c:v>-0.36925266127775652</c:v>
                </c:pt>
                <c:pt idx="781">
                  <c:v>-0.37120480434057745</c:v>
                </c:pt>
                <c:pt idx="782">
                  <c:v>-0.37105862054694044</c:v>
                </c:pt>
                <c:pt idx="783">
                  <c:v>-0.37506930021950741</c:v>
                </c:pt>
                <c:pt idx="784">
                  <c:v>-0.36360840831428426</c:v>
                </c:pt>
                <c:pt idx="785">
                  <c:v>-0.36422405336340269</c:v>
                </c:pt>
                <c:pt idx="786">
                  <c:v>-0.36195938815744616</c:v>
                </c:pt>
                <c:pt idx="787">
                  <c:v>-0.36671352124912499</c:v>
                </c:pt>
                <c:pt idx="788">
                  <c:v>-0.39573662409292432</c:v>
                </c:pt>
                <c:pt idx="789">
                  <c:v>-0.39649822870789381</c:v>
                </c:pt>
                <c:pt idx="790">
                  <c:v>-0.39634679807800138</c:v>
                </c:pt>
                <c:pt idx="791">
                  <c:v>-0.39872000410254888</c:v>
                </c:pt>
                <c:pt idx="792">
                  <c:v>-0.3989340943835552</c:v>
                </c:pt>
                <c:pt idx="793">
                  <c:v>-0.39786476072394378</c:v>
                </c:pt>
                <c:pt idx="794">
                  <c:v>-0.39392851176275534</c:v>
                </c:pt>
                <c:pt idx="795">
                  <c:v>-0.38852699942575553</c:v>
                </c:pt>
                <c:pt idx="796">
                  <c:v>-0.39105459767590445</c:v>
                </c:pt>
                <c:pt idx="797">
                  <c:v>-0.38820824249861768</c:v>
                </c:pt>
                <c:pt idx="798">
                  <c:v>-0.3913772904873899</c:v>
                </c:pt>
                <c:pt idx="799">
                  <c:v>-0.38775541631287191</c:v>
                </c:pt>
                <c:pt idx="800">
                  <c:v>-0.38719459395423811</c:v>
                </c:pt>
                <c:pt idx="801">
                  <c:v>-0.39184938233630279</c:v>
                </c:pt>
                <c:pt idx="802">
                  <c:v>-0.39349933664030201</c:v>
                </c:pt>
                <c:pt idx="803">
                  <c:v>-0.39204873769484805</c:v>
                </c:pt>
                <c:pt idx="804">
                  <c:v>-0.39262417988504927</c:v>
                </c:pt>
                <c:pt idx="805">
                  <c:v>-0.39437345888108971</c:v>
                </c:pt>
                <c:pt idx="806">
                  <c:v>-0.39278440041091278</c:v>
                </c:pt>
                <c:pt idx="807">
                  <c:v>-0.39341807917215854</c:v>
                </c:pt>
                <c:pt idx="808">
                  <c:v>-0.38851928254852436</c:v>
                </c:pt>
                <c:pt idx="809">
                  <c:v>-0.38331402669110354</c:v>
                </c:pt>
                <c:pt idx="810">
                  <c:v>-0.38495576104194057</c:v>
                </c:pt>
                <c:pt idx="811">
                  <c:v>-0.39098104901372727</c:v>
                </c:pt>
                <c:pt idx="812">
                  <c:v>-0.39117882232168644</c:v>
                </c:pt>
                <c:pt idx="813">
                  <c:v>-0.3838430147839858</c:v>
                </c:pt>
                <c:pt idx="814">
                  <c:v>-0.38103458293911358</c:v>
                </c:pt>
                <c:pt idx="815">
                  <c:v>-0.37817651137303376</c:v>
                </c:pt>
                <c:pt idx="816">
                  <c:v>-0.37368620802744046</c:v>
                </c:pt>
                <c:pt idx="817">
                  <c:v>-0.36146707786827831</c:v>
                </c:pt>
                <c:pt idx="818">
                  <c:v>-0.35902103266307966</c:v>
                </c:pt>
                <c:pt idx="819">
                  <c:v>-0.36656572663071563</c:v>
                </c:pt>
                <c:pt idx="820">
                  <c:v>-0.37075638633342317</c:v>
                </c:pt>
                <c:pt idx="821">
                  <c:v>-0.37496521582997144</c:v>
                </c:pt>
                <c:pt idx="822">
                  <c:v>-0.37606752676232791</c:v>
                </c:pt>
                <c:pt idx="823">
                  <c:v>-0.3707136573017239</c:v>
                </c:pt>
                <c:pt idx="824">
                  <c:v>-0.36565310039324916</c:v>
                </c:pt>
                <c:pt idx="825">
                  <c:v>-0.36520611765198874</c:v>
                </c:pt>
                <c:pt idx="826">
                  <c:v>-0.36391542565839813</c:v>
                </c:pt>
                <c:pt idx="827">
                  <c:v>-0.37138457469722375</c:v>
                </c:pt>
                <c:pt idx="828">
                  <c:v>-0.37535361661256827</c:v>
                </c:pt>
                <c:pt idx="829">
                  <c:v>-0.37535011159661735</c:v>
                </c:pt>
                <c:pt idx="830">
                  <c:v>-0.37530337671518138</c:v>
                </c:pt>
                <c:pt idx="831">
                  <c:v>-0.3693078809505197</c:v>
                </c:pt>
                <c:pt idx="832">
                  <c:v>-0.37828264362400987</c:v>
                </c:pt>
                <c:pt idx="833">
                  <c:v>-0.37964780101124607</c:v>
                </c:pt>
                <c:pt idx="834">
                  <c:v>-0.3908153039633771</c:v>
                </c:pt>
                <c:pt idx="835">
                  <c:v>-0.38152307795125395</c:v>
                </c:pt>
                <c:pt idx="836">
                  <c:v>-0.38798920087404548</c:v>
                </c:pt>
                <c:pt idx="837">
                  <c:v>-0.39352163288546133</c:v>
                </c:pt>
                <c:pt idx="838">
                  <c:v>-0.39505814162560771</c:v>
                </c:pt>
                <c:pt idx="839">
                  <c:v>-0.3993522051321976</c:v>
                </c:pt>
                <c:pt idx="840">
                  <c:v>-0.39844297309469384</c:v>
                </c:pt>
                <c:pt idx="841">
                  <c:v>-0.39508876531705966</c:v>
                </c:pt>
                <c:pt idx="842">
                  <c:v>-0.3986433992829938</c:v>
                </c:pt>
                <c:pt idx="843">
                  <c:v>-0.39684661055177467</c:v>
                </c:pt>
                <c:pt idx="844">
                  <c:v>-0.39555954017115491</c:v>
                </c:pt>
                <c:pt idx="845">
                  <c:v>-0.39324239562655106</c:v>
                </c:pt>
                <c:pt idx="846">
                  <c:v>-0.39167365428640105</c:v>
                </c:pt>
                <c:pt idx="847">
                  <c:v>-0.39821462869806779</c:v>
                </c:pt>
                <c:pt idx="848">
                  <c:v>-0.38877692390135171</c:v>
                </c:pt>
                <c:pt idx="849">
                  <c:v>-0.38865039615841351</c:v>
                </c:pt>
                <c:pt idx="850">
                  <c:v>-0.38205412948481227</c:v>
                </c:pt>
                <c:pt idx="851">
                  <c:v>-0.38515857508012091</c:v>
                </c:pt>
                <c:pt idx="852">
                  <c:v>-0.38682274173821124</c:v>
                </c:pt>
                <c:pt idx="853">
                  <c:v>-0.37984293292190308</c:v>
                </c:pt>
                <c:pt idx="854">
                  <c:v>-0.38415194561842314</c:v>
                </c:pt>
                <c:pt idx="855">
                  <c:v>-0.38134819056096703</c:v>
                </c:pt>
                <c:pt idx="856">
                  <c:v>-0.37872091383980178</c:v>
                </c:pt>
                <c:pt idx="857">
                  <c:v>-0.38364747148971623</c:v>
                </c:pt>
                <c:pt idx="858">
                  <c:v>-0.37782082275393447</c:v>
                </c:pt>
                <c:pt idx="859">
                  <c:v>-0.35973062950596962</c:v>
                </c:pt>
                <c:pt idx="860">
                  <c:v>-0.35598193881892209</c:v>
                </c:pt>
                <c:pt idx="861">
                  <c:v>-0.34984873386897469</c:v>
                </c:pt>
                <c:pt idx="862">
                  <c:v>-0.34688819375211732</c:v>
                </c:pt>
                <c:pt idx="863">
                  <c:v>-0.34355338850867506</c:v>
                </c:pt>
                <c:pt idx="864">
                  <c:v>-0.35234106348946609</c:v>
                </c:pt>
                <c:pt idx="865">
                  <c:v>-0.33847968180074534</c:v>
                </c:pt>
                <c:pt idx="866">
                  <c:v>-0.33789723641046615</c:v>
                </c:pt>
                <c:pt idx="867">
                  <c:v>-0.34202622920081033</c:v>
                </c:pt>
                <c:pt idx="868">
                  <c:v>-0.34331237883512344</c:v>
                </c:pt>
                <c:pt idx="869">
                  <c:v>-0.34416646936484346</c:v>
                </c:pt>
                <c:pt idx="870">
                  <c:v>-0.3280073031912582</c:v>
                </c:pt>
                <c:pt idx="871">
                  <c:v>-0.32316216494451883</c:v>
                </c:pt>
                <c:pt idx="872">
                  <c:v>-0.32448494532987715</c:v>
                </c:pt>
                <c:pt idx="873">
                  <c:v>-0.31718635070237999</c:v>
                </c:pt>
                <c:pt idx="874">
                  <c:v>-0.33306190044675843</c:v>
                </c:pt>
                <c:pt idx="875">
                  <c:v>-0.33794915211094378</c:v>
                </c:pt>
                <c:pt idx="876">
                  <c:v>-0.33487774791367914</c:v>
                </c:pt>
                <c:pt idx="877">
                  <c:v>-0.34314870411951143</c:v>
                </c:pt>
                <c:pt idx="878">
                  <c:v>-0.34452401421533674</c:v>
                </c:pt>
                <c:pt idx="879">
                  <c:v>-0.34932760676047148</c:v>
                </c:pt>
                <c:pt idx="880">
                  <c:v>-0.35640850366381505</c:v>
                </c:pt>
                <c:pt idx="881">
                  <c:v>-0.36094464064609422</c:v>
                </c:pt>
                <c:pt idx="882">
                  <c:v>-0.35793108893630565</c:v>
                </c:pt>
                <c:pt idx="883">
                  <c:v>-0.35335937973739312</c:v>
                </c:pt>
                <c:pt idx="884">
                  <c:v>-0.33979934703890774</c:v>
                </c:pt>
                <c:pt idx="885">
                  <c:v>-0.34345375007460893</c:v>
                </c:pt>
                <c:pt idx="886">
                  <c:v>-0.34690182311344064</c:v>
                </c:pt>
                <c:pt idx="887">
                  <c:v>-0.34762617742548763</c:v>
                </c:pt>
                <c:pt idx="888">
                  <c:v>-0.32614237051118711</c:v>
                </c:pt>
                <c:pt idx="889">
                  <c:v>-0.29113422501479003</c:v>
                </c:pt>
                <c:pt idx="890">
                  <c:v>-0.29218745588945144</c:v>
                </c:pt>
                <c:pt idx="891">
                  <c:v>-0.29466375668297051</c:v>
                </c:pt>
                <c:pt idx="892">
                  <c:v>-0.34352527862527105</c:v>
                </c:pt>
                <c:pt idx="893">
                  <c:v>-0.32693298304417223</c:v>
                </c:pt>
                <c:pt idx="894">
                  <c:v>-0.34359248620628241</c:v>
                </c:pt>
                <c:pt idx="895">
                  <c:v>-0.34168771176411727</c:v>
                </c:pt>
                <c:pt idx="896">
                  <c:v>-0.33661808623520462</c:v>
                </c:pt>
                <c:pt idx="897">
                  <c:v>-0.32867745970312889</c:v>
                </c:pt>
                <c:pt idx="898">
                  <c:v>-0.29141837546803545</c:v>
                </c:pt>
                <c:pt idx="899">
                  <c:v>-0.27111339197967865</c:v>
                </c:pt>
                <c:pt idx="900">
                  <c:v>-0.28652574171033945</c:v>
                </c:pt>
                <c:pt idx="901">
                  <c:v>-0.29513291923627821</c:v>
                </c:pt>
                <c:pt idx="902">
                  <c:v>-0.30587256042530681</c:v>
                </c:pt>
                <c:pt idx="903">
                  <c:v>-0.30723014054610609</c:v>
                </c:pt>
                <c:pt idx="904">
                  <c:v>-0.3061548376746791</c:v>
                </c:pt>
                <c:pt idx="905">
                  <c:v>-0.30357025823826472</c:v>
                </c:pt>
                <c:pt idx="906">
                  <c:v>-0.29996527116232635</c:v>
                </c:pt>
                <c:pt idx="907">
                  <c:v>-0.30976621984723002</c:v>
                </c:pt>
                <c:pt idx="908">
                  <c:v>-0.31857097005849372</c:v>
                </c:pt>
                <c:pt idx="909">
                  <c:v>-0.31680025409352336</c:v>
                </c:pt>
                <c:pt idx="910">
                  <c:v>-0.31156616848228769</c:v>
                </c:pt>
                <c:pt idx="911">
                  <c:v>-0.29954376922203901</c:v>
                </c:pt>
                <c:pt idx="912">
                  <c:v>-0.30590016620795246</c:v>
                </c:pt>
                <c:pt idx="913">
                  <c:v>-0.30427474629127998</c:v>
                </c:pt>
                <c:pt idx="914">
                  <c:v>-0.31795706433175086</c:v>
                </c:pt>
                <c:pt idx="915">
                  <c:v>-0.29121912263703453</c:v>
                </c:pt>
                <c:pt idx="916">
                  <c:v>-0.29598430027591899</c:v>
                </c:pt>
                <c:pt idx="917">
                  <c:v>-0.28020905938800927</c:v>
                </c:pt>
                <c:pt idx="918">
                  <c:v>-0.29067238401345313</c:v>
                </c:pt>
                <c:pt idx="919">
                  <c:v>-0.29944582425487987</c:v>
                </c:pt>
                <c:pt idx="920">
                  <c:v>-0.29790628642507305</c:v>
                </c:pt>
                <c:pt idx="921">
                  <c:v>-0.28712210781934489</c:v>
                </c:pt>
                <c:pt idx="922">
                  <c:v>-0.28558801403433587</c:v>
                </c:pt>
                <c:pt idx="923">
                  <c:v>-0.2816255292902613</c:v>
                </c:pt>
                <c:pt idx="924">
                  <c:v>-0.29147822691958397</c:v>
                </c:pt>
                <c:pt idx="925">
                  <c:v>-0.28854897891413539</c:v>
                </c:pt>
                <c:pt idx="926">
                  <c:v>-0.28985309667656572</c:v>
                </c:pt>
                <c:pt idx="927">
                  <c:v>-0.29128635782122386</c:v>
                </c:pt>
                <c:pt idx="928">
                  <c:v>-0.2922075401526098</c:v>
                </c:pt>
                <c:pt idx="929">
                  <c:v>-0.29032343806082733</c:v>
                </c:pt>
                <c:pt idx="930">
                  <c:v>-0.28859394495220281</c:v>
                </c:pt>
                <c:pt idx="931">
                  <c:v>-0.2858136841183736</c:v>
                </c:pt>
                <c:pt idx="932">
                  <c:v>-0.29998817675199319</c:v>
                </c:pt>
                <c:pt idx="933">
                  <c:v>-0.30422091317577821</c:v>
                </c:pt>
                <c:pt idx="934">
                  <c:v>-0.30979228296688899</c:v>
                </c:pt>
                <c:pt idx="935">
                  <c:v>-0.31472639791282891</c:v>
                </c:pt>
                <c:pt idx="936">
                  <c:v>-0.31922677197017202</c:v>
                </c:pt>
                <c:pt idx="937">
                  <c:v>-0.31635238876193916</c:v>
                </c:pt>
                <c:pt idx="938">
                  <c:v>-0.32070616827335752</c:v>
                </c:pt>
                <c:pt idx="939">
                  <c:v>-0.32169347701215512</c:v>
                </c:pt>
                <c:pt idx="940">
                  <c:v>-0.32075290321547817</c:v>
                </c:pt>
                <c:pt idx="941">
                  <c:v>-0.31445405680822025</c:v>
                </c:pt>
                <c:pt idx="942">
                  <c:v>-0.31305052856573357</c:v>
                </c:pt>
                <c:pt idx="943">
                  <c:v>-0.31488289462032182</c:v>
                </c:pt>
                <c:pt idx="944">
                  <c:v>-0.31837840461152239</c:v>
                </c:pt>
                <c:pt idx="945">
                  <c:v>-0.32653696097476259</c:v>
                </c:pt>
                <c:pt idx="946">
                  <c:v>-0.33119489954411435</c:v>
                </c:pt>
                <c:pt idx="947">
                  <c:v>-0.33040265886321046</c:v>
                </c:pt>
                <c:pt idx="948">
                  <c:v>-0.33645375356322826</c:v>
                </c:pt>
                <c:pt idx="949">
                  <c:v>-0.33314804570434325</c:v>
                </c:pt>
                <c:pt idx="950">
                  <c:v>-0.34009819765594901</c:v>
                </c:pt>
                <c:pt idx="951">
                  <c:v>-0.33253961143073063</c:v>
                </c:pt>
                <c:pt idx="952">
                  <c:v>-0.33138085374007187</c:v>
                </c:pt>
                <c:pt idx="953">
                  <c:v>-0.3325299074089747</c:v>
                </c:pt>
                <c:pt idx="954">
                  <c:v>-0.33486373464454555</c:v>
                </c:pt>
                <c:pt idx="955">
                  <c:v>-0.339217291799571</c:v>
                </c:pt>
                <c:pt idx="956">
                  <c:v>-0.3376848858502029</c:v>
                </c:pt>
                <c:pt idx="957">
                  <c:v>-0.33253311314381695</c:v>
                </c:pt>
                <c:pt idx="958">
                  <c:v>-0.33238294209682845</c:v>
                </c:pt>
                <c:pt idx="959">
                  <c:v>-0.33356425526632721</c:v>
                </c:pt>
                <c:pt idx="960">
                  <c:v>-0.32746715074969429</c:v>
                </c:pt>
                <c:pt idx="961">
                  <c:v>-0.33100523436630797</c:v>
                </c:pt>
                <c:pt idx="962">
                  <c:v>-0.33281141722736368</c:v>
                </c:pt>
                <c:pt idx="963">
                  <c:v>-0.3396524915038448</c:v>
                </c:pt>
                <c:pt idx="964">
                  <c:v>-0.33660350729191235</c:v>
                </c:pt>
                <c:pt idx="965">
                  <c:v>-0.33964533069160974</c:v>
                </c:pt>
                <c:pt idx="966">
                  <c:v>-0.34050020616346766</c:v>
                </c:pt>
                <c:pt idx="967">
                  <c:v>-0.33315220211409685</c:v>
                </c:pt>
                <c:pt idx="968">
                  <c:v>-0.33634870179824677</c:v>
                </c:pt>
                <c:pt idx="969">
                  <c:v>-0.32758331209653346</c:v>
                </c:pt>
                <c:pt idx="970">
                  <c:v>-0.31088592982133811</c:v>
                </c:pt>
                <c:pt idx="971">
                  <c:v>-0.31923912830463569</c:v>
                </c:pt>
                <c:pt idx="972">
                  <c:v>-0.32086711051495193</c:v>
                </c:pt>
                <c:pt idx="973">
                  <c:v>-0.31730219096617113</c:v>
                </c:pt>
                <c:pt idx="974">
                  <c:v>-0.31308765799100624</c:v>
                </c:pt>
                <c:pt idx="975">
                  <c:v>-0.32209968264066791</c:v>
                </c:pt>
                <c:pt idx="976">
                  <c:v>-0.32167304203244251</c:v>
                </c:pt>
                <c:pt idx="977">
                  <c:v>-0.3318328567630367</c:v>
                </c:pt>
                <c:pt idx="978">
                  <c:v>-0.33449978636638028</c:v>
                </c:pt>
                <c:pt idx="979">
                  <c:v>-0.33682581593093708</c:v>
                </c:pt>
                <c:pt idx="980">
                  <c:v>-0.34950461704901553</c:v>
                </c:pt>
                <c:pt idx="981">
                  <c:v>-0.35110203465378709</c:v>
                </c:pt>
                <c:pt idx="982">
                  <c:v>-0.34663779194793415</c:v>
                </c:pt>
                <c:pt idx="983">
                  <c:v>-0.34424418025163422</c:v>
                </c:pt>
                <c:pt idx="984">
                  <c:v>-0.34636793796342891</c:v>
                </c:pt>
                <c:pt idx="985">
                  <c:v>-0.35741313798586122</c:v>
                </c:pt>
                <c:pt idx="986">
                  <c:v>-0.3569879049585914</c:v>
                </c:pt>
                <c:pt idx="987">
                  <c:v>-0.35498746960601218</c:v>
                </c:pt>
                <c:pt idx="988">
                  <c:v>-0.35960001007425857</c:v>
                </c:pt>
                <c:pt idx="989">
                  <c:v>-0.36361890669469898</c:v>
                </c:pt>
                <c:pt idx="990">
                  <c:v>-0.36794498562630074</c:v>
                </c:pt>
                <c:pt idx="991">
                  <c:v>-0.36589103808447021</c:v>
                </c:pt>
                <c:pt idx="992">
                  <c:v>-0.37296531557198109</c:v>
                </c:pt>
                <c:pt idx="993">
                  <c:v>-0.37782219470470124</c:v>
                </c:pt>
                <c:pt idx="994">
                  <c:v>-0.37036502528520093</c:v>
                </c:pt>
                <c:pt idx="995">
                  <c:v>-0.37277021654269882</c:v>
                </c:pt>
                <c:pt idx="996">
                  <c:v>-0.38870773204148329</c:v>
                </c:pt>
                <c:pt idx="997">
                  <c:v>-0.39165904049204181</c:v>
                </c:pt>
                <c:pt idx="998">
                  <c:v>-0.39637769135659728</c:v>
                </c:pt>
                <c:pt idx="999">
                  <c:v>-0.39887597621648413</c:v>
                </c:pt>
                <c:pt idx="1000">
                  <c:v>-0.40546517716945202</c:v>
                </c:pt>
                <c:pt idx="1001">
                  <c:v>-0.4034639382788478</c:v>
                </c:pt>
                <c:pt idx="1002">
                  <c:v>-0.40515676674503576</c:v>
                </c:pt>
                <c:pt idx="1003">
                  <c:v>-0.40270364747733334</c:v>
                </c:pt>
                <c:pt idx="1004">
                  <c:v>-0.40622381461754892</c:v>
                </c:pt>
                <c:pt idx="1005">
                  <c:v>-0.4042542315382528</c:v>
                </c:pt>
                <c:pt idx="1006">
                  <c:v>-0.40694766086477291</c:v>
                </c:pt>
                <c:pt idx="1007">
                  <c:v>-0.40727157759494381</c:v>
                </c:pt>
                <c:pt idx="1008">
                  <c:v>-0.40481009333943163</c:v>
                </c:pt>
                <c:pt idx="1009">
                  <c:v>-0.40833824465615148</c:v>
                </c:pt>
                <c:pt idx="1010">
                  <c:v>-0.40497602898825119</c:v>
                </c:pt>
                <c:pt idx="1011">
                  <c:v>-0.40366851832338096</c:v>
                </c:pt>
                <c:pt idx="1012">
                  <c:v>-0.40336629876793911</c:v>
                </c:pt>
                <c:pt idx="1013">
                  <c:v>-0.40268451574944519</c:v>
                </c:pt>
                <c:pt idx="1014">
                  <c:v>-0.40806675792948249</c:v>
                </c:pt>
                <c:pt idx="1015">
                  <c:v>-0.41372808724908194</c:v>
                </c:pt>
                <c:pt idx="1016">
                  <c:v>-0.41154426837296681</c:v>
                </c:pt>
                <c:pt idx="1017">
                  <c:v>-0.41152669037439737</c:v>
                </c:pt>
                <c:pt idx="1018">
                  <c:v>-0.40816850109607183</c:v>
                </c:pt>
                <c:pt idx="1019">
                  <c:v>-0.3944829695139272</c:v>
                </c:pt>
                <c:pt idx="1020">
                  <c:v>-0.40479143041310522</c:v>
                </c:pt>
                <c:pt idx="1021">
                  <c:v>-0.4034566333318238</c:v>
                </c:pt>
                <c:pt idx="1022">
                  <c:v>-0.40716481668527438</c:v>
                </c:pt>
                <c:pt idx="1023">
                  <c:v>-0.40156987163136204</c:v>
                </c:pt>
                <c:pt idx="1024">
                  <c:v>-0.40418919705007633</c:v>
                </c:pt>
                <c:pt idx="1025">
                  <c:v>-0.41139919398291402</c:v>
                </c:pt>
                <c:pt idx="1026">
                  <c:v>-0.40694372989533972</c:v>
                </c:pt>
                <c:pt idx="1027">
                  <c:v>-0.40776789229306065</c:v>
                </c:pt>
                <c:pt idx="1028">
                  <c:v>-0.40954727954556908</c:v>
                </c:pt>
                <c:pt idx="1029">
                  <c:v>-0.41573213941343912</c:v>
                </c:pt>
                <c:pt idx="1030">
                  <c:v>-0.42461204732882901</c:v>
                </c:pt>
                <c:pt idx="1031">
                  <c:v>-0.42621118333984159</c:v>
                </c:pt>
                <c:pt idx="1032">
                  <c:v>-0.42646101226868161</c:v>
                </c:pt>
                <c:pt idx="1033">
                  <c:v>-0.42203241731113283</c:v>
                </c:pt>
                <c:pt idx="1034">
                  <c:v>-0.41934544859702971</c:v>
                </c:pt>
                <c:pt idx="1035">
                  <c:v>-0.41622967177573195</c:v>
                </c:pt>
                <c:pt idx="1036">
                  <c:v>-0.41232588646525486</c:v>
                </c:pt>
                <c:pt idx="1037">
                  <c:v>-0.41279328607926991</c:v>
                </c:pt>
                <c:pt idx="1038">
                  <c:v>-0.4098244920889183</c:v>
                </c:pt>
                <c:pt idx="1039">
                  <c:v>-0.41126296081632807</c:v>
                </c:pt>
                <c:pt idx="1040">
                  <c:v>-0.41899866376571904</c:v>
                </c:pt>
                <c:pt idx="1041">
                  <c:v>-0.42322558825198314</c:v>
                </c:pt>
                <c:pt idx="1042">
                  <c:v>-0.42597907637499871</c:v>
                </c:pt>
                <c:pt idx="1043">
                  <c:v>-0.41516910910633137</c:v>
                </c:pt>
                <c:pt idx="1044">
                  <c:v>-0.41119545293631821</c:v>
                </c:pt>
                <c:pt idx="1045">
                  <c:v>-0.41076385954566352</c:v>
                </c:pt>
                <c:pt idx="1046">
                  <c:v>-0.40553598321994261</c:v>
                </c:pt>
                <c:pt idx="1047">
                  <c:v>-0.40544729449088796</c:v>
                </c:pt>
                <c:pt idx="1048">
                  <c:v>-0.40079071354671392</c:v>
                </c:pt>
                <c:pt idx="1049">
                  <c:v>-0.40634768838396762</c:v>
                </c:pt>
                <c:pt idx="1050">
                  <c:v>-0.41237978097266043</c:v>
                </c:pt>
                <c:pt idx="1051">
                  <c:v>-0.41793229915655633</c:v>
                </c:pt>
                <c:pt idx="1052">
                  <c:v>-0.42192747166079486</c:v>
                </c:pt>
                <c:pt idx="1053">
                  <c:v>-0.4267231303374534</c:v>
                </c:pt>
                <c:pt idx="1054">
                  <c:v>-0.42038114070633198</c:v>
                </c:pt>
                <c:pt idx="1055">
                  <c:v>-0.42031405303773112</c:v>
                </c:pt>
                <c:pt idx="1056">
                  <c:v>-0.42785882485175902</c:v>
                </c:pt>
                <c:pt idx="1057">
                  <c:v>-0.42653956864735854</c:v>
                </c:pt>
                <c:pt idx="1058">
                  <c:v>-0.42652245093562491</c:v>
                </c:pt>
                <c:pt idx="1059">
                  <c:v>-0.42338135963245299</c:v>
                </c:pt>
                <c:pt idx="1060">
                  <c:v>-0.42139576238584209</c:v>
                </c:pt>
                <c:pt idx="1061">
                  <c:v>-0.4257895166678532</c:v>
                </c:pt>
                <c:pt idx="1062">
                  <c:v>-0.42957755234663636</c:v>
                </c:pt>
                <c:pt idx="1063">
                  <c:v>-0.42865930997055413</c:v>
                </c:pt>
                <c:pt idx="1064">
                  <c:v>-0.42663117571840303</c:v>
                </c:pt>
                <c:pt idx="1065">
                  <c:v>-0.41931580703643084</c:v>
                </c:pt>
                <c:pt idx="1066">
                  <c:v>-0.41698928973999116</c:v>
                </c:pt>
                <c:pt idx="1067">
                  <c:v>-0.41825260351602395</c:v>
                </c:pt>
                <c:pt idx="1068">
                  <c:v>-0.42193671511236414</c:v>
                </c:pt>
                <c:pt idx="1069">
                  <c:v>-0.42540738784831694</c:v>
                </c:pt>
                <c:pt idx="1070">
                  <c:v>-0.4296223036724594</c:v>
                </c:pt>
                <c:pt idx="1071">
                  <c:v>-0.43170581643171985</c:v>
                </c:pt>
                <c:pt idx="1072">
                  <c:v>-0.43233834160094498</c:v>
                </c:pt>
                <c:pt idx="1073">
                  <c:v>-0.43109117274999642</c:v>
                </c:pt>
                <c:pt idx="1074">
                  <c:v>-0.43270356939931154</c:v>
                </c:pt>
                <c:pt idx="1075">
                  <c:v>-0.42974682977745593</c:v>
                </c:pt>
                <c:pt idx="1076">
                  <c:v>-0.43337867663488483</c:v>
                </c:pt>
                <c:pt idx="1077">
                  <c:v>-0.44106503739488562</c:v>
                </c:pt>
                <c:pt idx="1078">
                  <c:v>-0.44054327413424349</c:v>
                </c:pt>
                <c:pt idx="1079">
                  <c:v>-0.43694446663753811</c:v>
                </c:pt>
                <c:pt idx="1080">
                  <c:v>-0.44355686463216604</c:v>
                </c:pt>
                <c:pt idx="1081">
                  <c:v>-0.44527634797688848</c:v>
                </c:pt>
                <c:pt idx="1082">
                  <c:v>-0.44263092474085669</c:v>
                </c:pt>
                <c:pt idx="1083">
                  <c:v>-0.43759407966271985</c:v>
                </c:pt>
                <c:pt idx="1084">
                  <c:v>-0.43718861740660958</c:v>
                </c:pt>
                <c:pt idx="1085">
                  <c:v>-0.43638276620586663</c:v>
                </c:pt>
                <c:pt idx="1086">
                  <c:v>-0.43533249344024005</c:v>
                </c:pt>
                <c:pt idx="1087">
                  <c:v>-0.43052959890776893</c:v>
                </c:pt>
                <c:pt idx="1088">
                  <c:v>-0.4355477782836053</c:v>
                </c:pt>
                <c:pt idx="1089">
                  <c:v>-0.44080634177698802</c:v>
                </c:pt>
                <c:pt idx="1090">
                  <c:v>-0.44291637622246682</c:v>
                </c:pt>
                <c:pt idx="1091">
                  <c:v>-0.44537841775521836</c:v>
                </c:pt>
                <c:pt idx="1092">
                  <c:v>-0.42247831639067651</c:v>
                </c:pt>
                <c:pt idx="1093">
                  <c:v>-0.42848248968230462</c:v>
                </c:pt>
                <c:pt idx="1094">
                  <c:v>-0.4203658472715347</c:v>
                </c:pt>
                <c:pt idx="1095">
                  <c:v>-0.41778061162163277</c:v>
                </c:pt>
                <c:pt idx="1096">
                  <c:v>-0.41558328223675495</c:v>
                </c:pt>
                <c:pt idx="1097">
                  <c:v>-0.41699947844096208</c:v>
                </c:pt>
                <c:pt idx="1098">
                  <c:v>-0.41595587251554428</c:v>
                </c:pt>
                <c:pt idx="1099">
                  <c:v>-0.40214753469460524</c:v>
                </c:pt>
                <c:pt idx="1100">
                  <c:v>-0.41168730453720054</c:v>
                </c:pt>
                <c:pt idx="1101">
                  <c:v>-0.41692524718788859</c:v>
                </c:pt>
                <c:pt idx="1102">
                  <c:v>-0.41256434753674193</c:v>
                </c:pt>
                <c:pt idx="1103">
                  <c:v>-0.40967623201801018</c:v>
                </c:pt>
                <c:pt idx="1104">
                  <c:v>-0.40363998275593571</c:v>
                </c:pt>
                <c:pt idx="1105">
                  <c:v>-0.40457018645233744</c:v>
                </c:pt>
                <c:pt idx="1106">
                  <c:v>-0.40001856070723751</c:v>
                </c:pt>
                <c:pt idx="1107">
                  <c:v>-0.40520055283017564</c:v>
                </c:pt>
                <c:pt idx="1108">
                  <c:v>-0.40560482879938226</c:v>
                </c:pt>
                <c:pt idx="1109">
                  <c:v>-0.40791640717622785</c:v>
                </c:pt>
                <c:pt idx="1110">
                  <c:v>-0.39696099691432207</c:v>
                </c:pt>
                <c:pt idx="1111">
                  <c:v>-0.39307737413936467</c:v>
                </c:pt>
                <c:pt idx="1112">
                  <c:v>-0.40397730287502798</c:v>
                </c:pt>
                <c:pt idx="1113">
                  <c:v>-0.40388198942487663</c:v>
                </c:pt>
                <c:pt idx="1114">
                  <c:v>-0.4062954576388762</c:v>
                </c:pt>
                <c:pt idx="1115">
                  <c:v>-0.40689344037885761</c:v>
                </c:pt>
                <c:pt idx="1116">
                  <c:v>-0.40418489306828997</c:v>
                </c:pt>
                <c:pt idx="1117">
                  <c:v>-0.40355400505982636</c:v>
                </c:pt>
                <c:pt idx="1118">
                  <c:v>-0.40131227003204389</c:v>
                </c:pt>
                <c:pt idx="1119">
                  <c:v>-0.39757225846723626</c:v>
                </c:pt>
                <c:pt idx="1120">
                  <c:v>-0.40081945699164212</c:v>
                </c:pt>
                <c:pt idx="1121">
                  <c:v>-0.39643963597933579</c:v>
                </c:pt>
                <c:pt idx="1122">
                  <c:v>-0.40030115927810661</c:v>
                </c:pt>
                <c:pt idx="1123">
                  <c:v>-0.3933727192469394</c:v>
                </c:pt>
                <c:pt idx="1124">
                  <c:v>-0.39534591365697047</c:v>
                </c:pt>
                <c:pt idx="1125">
                  <c:v>-0.40142393138779114</c:v>
                </c:pt>
                <c:pt idx="1126">
                  <c:v>-0.40567908150213894</c:v>
                </c:pt>
                <c:pt idx="1127">
                  <c:v>-0.40020111066358882</c:v>
                </c:pt>
                <c:pt idx="1128">
                  <c:v>-0.39798825009648109</c:v>
                </c:pt>
                <c:pt idx="1129">
                  <c:v>-0.39171022034317388</c:v>
                </c:pt>
                <c:pt idx="1130">
                  <c:v>-0.39227204502482932</c:v>
                </c:pt>
                <c:pt idx="1131">
                  <c:v>-0.38945314952323073</c:v>
                </c:pt>
                <c:pt idx="1132">
                  <c:v>-0.38798019617882734</c:v>
                </c:pt>
                <c:pt idx="1133">
                  <c:v>-0.38080421075562093</c:v>
                </c:pt>
                <c:pt idx="1134">
                  <c:v>-0.37048458873943491</c:v>
                </c:pt>
                <c:pt idx="1135">
                  <c:v>-0.37296783648604148</c:v>
                </c:pt>
                <c:pt idx="1136">
                  <c:v>-0.39006633790580142</c:v>
                </c:pt>
                <c:pt idx="1137">
                  <c:v>-0.38911321713614477</c:v>
                </c:pt>
                <c:pt idx="1138">
                  <c:v>-0.39083306356710351</c:v>
                </c:pt>
                <c:pt idx="1139">
                  <c:v>-0.39709682170466087</c:v>
                </c:pt>
                <c:pt idx="1140">
                  <c:v>-0.41059256627051083</c:v>
                </c:pt>
                <c:pt idx="1141">
                  <c:v>-0.41320897262909756</c:v>
                </c:pt>
                <c:pt idx="1142">
                  <c:v>-0.41359389315993222</c:v>
                </c:pt>
                <c:pt idx="1143">
                  <c:v>-0.40932628336917382</c:v>
                </c:pt>
                <c:pt idx="1144">
                  <c:v>-0.41978018992109517</c:v>
                </c:pt>
                <c:pt idx="1145">
                  <c:v>-0.42323824615205563</c:v>
                </c:pt>
                <c:pt idx="1146">
                  <c:v>-0.42757501537533904</c:v>
                </c:pt>
                <c:pt idx="1147">
                  <c:v>-0.43423159548549956</c:v>
                </c:pt>
                <c:pt idx="1148">
                  <c:v>-0.43550262251347005</c:v>
                </c:pt>
                <c:pt idx="1149">
                  <c:v>-0.43572983666474974</c:v>
                </c:pt>
                <c:pt idx="1150">
                  <c:v>-0.44203896207111371</c:v>
                </c:pt>
                <c:pt idx="1151">
                  <c:v>-0.44983926563038368</c:v>
                </c:pt>
                <c:pt idx="1152">
                  <c:v>-0.4457553717079456</c:v>
                </c:pt>
                <c:pt idx="1153">
                  <c:v>-0.44752412691635579</c:v>
                </c:pt>
                <c:pt idx="1154">
                  <c:v>-0.45003234350245408</c:v>
                </c:pt>
                <c:pt idx="1155">
                  <c:v>-0.456282443869786</c:v>
                </c:pt>
                <c:pt idx="1156">
                  <c:v>-0.45838757718622952</c:v>
                </c:pt>
                <c:pt idx="1157">
                  <c:v>-0.46482641895118626</c:v>
                </c:pt>
                <c:pt idx="1158">
                  <c:v>-0.4649329111039921</c:v>
                </c:pt>
                <c:pt idx="1159">
                  <c:v>-0.46358910704561035</c:v>
                </c:pt>
                <c:pt idx="1160">
                  <c:v>-0.46384040981991753</c:v>
                </c:pt>
                <c:pt idx="1161">
                  <c:v>-0.46550341619772129</c:v>
                </c:pt>
                <c:pt idx="1162">
                  <c:v>-0.4633816367813588</c:v>
                </c:pt>
                <c:pt idx="1163">
                  <c:v>-0.46258531729714192</c:v>
                </c:pt>
                <c:pt idx="1164">
                  <c:v>-0.46274224226845523</c:v>
                </c:pt>
                <c:pt idx="1165">
                  <c:v>-0.46673498765140381</c:v>
                </c:pt>
                <c:pt idx="1166">
                  <c:v>-0.47039108725938389</c:v>
                </c:pt>
                <c:pt idx="1167">
                  <c:v>-0.47124585942225283</c:v>
                </c:pt>
                <c:pt idx="1168">
                  <c:v>-0.47520948764149007</c:v>
                </c:pt>
                <c:pt idx="1169">
                  <c:v>-0.47762721851566386</c:v>
                </c:pt>
                <c:pt idx="1170">
                  <c:v>-0.47262913638163606</c:v>
                </c:pt>
                <c:pt idx="1171">
                  <c:v>-0.47020880516325775</c:v>
                </c:pt>
                <c:pt idx="1172">
                  <c:v>-0.46905292552474864</c:v>
                </c:pt>
                <c:pt idx="1173">
                  <c:v>-0.47017701333149081</c:v>
                </c:pt>
                <c:pt idx="1174">
                  <c:v>-0.46438977051036673</c:v>
                </c:pt>
                <c:pt idx="1175">
                  <c:v>-0.46144217213543143</c:v>
                </c:pt>
                <c:pt idx="1176">
                  <c:v>-0.46337999847513178</c:v>
                </c:pt>
                <c:pt idx="1177">
                  <c:v>-0.46520858232962992</c:v>
                </c:pt>
                <c:pt idx="1178">
                  <c:v>-0.46830028209979269</c:v>
                </c:pt>
                <c:pt idx="1179">
                  <c:v>-0.46053535304797466</c:v>
                </c:pt>
                <c:pt idx="1180">
                  <c:v>-0.45794866592125988</c:v>
                </c:pt>
                <c:pt idx="1181">
                  <c:v>-0.47044999821931849</c:v>
                </c:pt>
                <c:pt idx="1182">
                  <c:v>-0.46630560866900922</c:v>
                </c:pt>
                <c:pt idx="1183">
                  <c:v>-0.46627287485270175</c:v>
                </c:pt>
                <c:pt idx="1184">
                  <c:v>-0.46451713408242973</c:v>
                </c:pt>
                <c:pt idx="1185">
                  <c:v>-0.45904295728231004</c:v>
                </c:pt>
                <c:pt idx="1186">
                  <c:v>-0.45554699833225404</c:v>
                </c:pt>
                <c:pt idx="1187">
                  <c:v>-0.45978135231112904</c:v>
                </c:pt>
                <c:pt idx="1188">
                  <c:v>-0.46120428935315255</c:v>
                </c:pt>
                <c:pt idx="1189">
                  <c:v>-0.46435116333447213</c:v>
                </c:pt>
                <c:pt idx="1190">
                  <c:v>-0.45505623519869587</c:v>
                </c:pt>
                <c:pt idx="1191">
                  <c:v>-0.45176507346389899</c:v>
                </c:pt>
                <c:pt idx="1192">
                  <c:v>-0.44655017013625864</c:v>
                </c:pt>
                <c:pt idx="1193">
                  <c:v>-0.44994365828224653</c:v>
                </c:pt>
                <c:pt idx="1194">
                  <c:v>-0.44368443886104858</c:v>
                </c:pt>
                <c:pt idx="1195">
                  <c:v>-0.44288315186586868</c:v>
                </c:pt>
                <c:pt idx="1196">
                  <c:v>-0.44714065785586532</c:v>
                </c:pt>
                <c:pt idx="1197">
                  <c:v>-0.44850190893212122</c:v>
                </c:pt>
                <c:pt idx="1198">
                  <c:v>-0.44969738872489118</c:v>
                </c:pt>
                <c:pt idx="1199">
                  <c:v>-0.45877066281284407</c:v>
                </c:pt>
                <c:pt idx="1200">
                  <c:v>-0.46057548759889355</c:v>
                </c:pt>
                <c:pt idx="1201">
                  <c:v>-0.46055056148688772</c:v>
                </c:pt>
                <c:pt idx="1202">
                  <c:v>-0.46835022000139859</c:v>
                </c:pt>
                <c:pt idx="1203">
                  <c:v>-0.46148874557182096</c:v>
                </c:pt>
                <c:pt idx="1204">
                  <c:v>-0.46106815246303617</c:v>
                </c:pt>
                <c:pt idx="1205">
                  <c:v>-0.46038807150541045</c:v>
                </c:pt>
                <c:pt idx="1206">
                  <c:v>-0.46528294408659221</c:v>
                </c:pt>
                <c:pt idx="1207">
                  <c:v>-0.46774085723842046</c:v>
                </c:pt>
                <c:pt idx="1208">
                  <c:v>-0.47300055940377317</c:v>
                </c:pt>
                <c:pt idx="1209">
                  <c:v>-0.47063768399428579</c:v>
                </c:pt>
                <c:pt idx="1210">
                  <c:v>-0.46738190284118331</c:v>
                </c:pt>
                <c:pt idx="1211">
                  <c:v>-0.4700763487085578</c:v>
                </c:pt>
                <c:pt idx="1212">
                  <c:v>-0.47527330601717982</c:v>
                </c:pt>
                <c:pt idx="1213">
                  <c:v>-0.4732679853798113</c:v>
                </c:pt>
                <c:pt idx="1214">
                  <c:v>-0.46297558735020605</c:v>
                </c:pt>
                <c:pt idx="1215">
                  <c:v>-0.4640169169025079</c:v>
                </c:pt>
                <c:pt idx="1216">
                  <c:v>-0.46689288577791088</c:v>
                </c:pt>
                <c:pt idx="1217">
                  <c:v>-0.47223699309278455</c:v>
                </c:pt>
                <c:pt idx="1218">
                  <c:v>-0.46898956924633289</c:v>
                </c:pt>
                <c:pt idx="1219">
                  <c:v>-0.48451157373361958</c:v>
                </c:pt>
                <c:pt idx="1220">
                  <c:v>-0.49153876060714252</c:v>
                </c:pt>
                <c:pt idx="1221">
                  <c:v>-0.50128205236278023</c:v>
                </c:pt>
                <c:pt idx="1222">
                  <c:v>-0.5021603830619793</c:v>
                </c:pt>
                <c:pt idx="1223">
                  <c:v>-0.49708219345529336</c:v>
                </c:pt>
                <c:pt idx="1224">
                  <c:v>-0.49733256818199523</c:v>
                </c:pt>
                <c:pt idx="1225">
                  <c:v>-0.49631321002306289</c:v>
                </c:pt>
                <c:pt idx="1226">
                  <c:v>-0.50372572815592109</c:v>
                </c:pt>
                <c:pt idx="1227">
                  <c:v>-0.49832765337357304</c:v>
                </c:pt>
                <c:pt idx="1228">
                  <c:v>-0.49760505021731294</c:v>
                </c:pt>
                <c:pt idx="1229">
                  <c:v>-0.49638776172642274</c:v>
                </c:pt>
                <c:pt idx="1230">
                  <c:v>-0.49748294196361692</c:v>
                </c:pt>
                <c:pt idx="1231">
                  <c:v>-0.49319167793546875</c:v>
                </c:pt>
                <c:pt idx="1232">
                  <c:v>-0.49623472862767126</c:v>
                </c:pt>
                <c:pt idx="1233">
                  <c:v>-0.49339099838140543</c:v>
                </c:pt>
                <c:pt idx="1234">
                  <c:v>-0.48991698214774804</c:v>
                </c:pt>
                <c:pt idx="1235">
                  <c:v>-0.49232901531591095</c:v>
                </c:pt>
                <c:pt idx="1236">
                  <c:v>-0.49704032825926592</c:v>
                </c:pt>
                <c:pt idx="1237">
                  <c:v>-0.49501937863369522</c:v>
                </c:pt>
                <c:pt idx="1238">
                  <c:v>-0.49399881055261724</c:v>
                </c:pt>
                <c:pt idx="1239">
                  <c:v>-0.49202681771484968</c:v>
                </c:pt>
                <c:pt idx="1240">
                  <c:v>-0.49604461896228697</c:v>
                </c:pt>
                <c:pt idx="1241">
                  <c:v>-0.49393860469163992</c:v>
                </c:pt>
                <c:pt idx="1242">
                  <c:v>-0.495029866452525</c:v>
                </c:pt>
                <c:pt idx="1243">
                  <c:v>-0.49576879984634253</c:v>
                </c:pt>
                <c:pt idx="1244">
                  <c:v>-0.50072187799283474</c:v>
                </c:pt>
                <c:pt idx="1245">
                  <c:v>-0.49389430693591885</c:v>
                </c:pt>
                <c:pt idx="1246">
                  <c:v>-0.49290194666801745</c:v>
                </c:pt>
                <c:pt idx="1247">
                  <c:v>-0.49060092716716935</c:v>
                </c:pt>
                <c:pt idx="1248">
                  <c:v>-0.49039286879406924</c:v>
                </c:pt>
                <c:pt idx="1249">
                  <c:v>-0.49158611866234586</c:v>
                </c:pt>
                <c:pt idx="1250">
                  <c:v>-0.49618844588324768</c:v>
                </c:pt>
                <c:pt idx="1251">
                  <c:v>-0.49437547318783737</c:v>
                </c:pt>
                <c:pt idx="1252">
                  <c:v>-0.48741621087476261</c:v>
                </c:pt>
                <c:pt idx="1253">
                  <c:v>-0.4903364165278925</c:v>
                </c:pt>
                <c:pt idx="1254">
                  <c:v>-0.49089164810948488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6-413D-8678-9727C31A1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981328"/>
        <c:axId val="1976814112"/>
      </c:lineChart>
      <c:dateAx>
        <c:axId val="498981328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14112"/>
        <c:crosses val="autoZero"/>
        <c:auto val="0"/>
        <c:lblOffset val="100"/>
        <c:baseTimeUnit val="days"/>
        <c:majorUnit val="6"/>
        <c:majorTimeUnit val="months"/>
      </c:dateAx>
      <c:valAx>
        <c:axId val="19768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8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Risk Contribution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Analysis'!$I$10:$I$14</c:f>
              <c:strCache>
                <c:ptCount val="5"/>
                <c:pt idx="0">
                  <c:v>GOOGL</c:v>
                </c:pt>
                <c:pt idx="1">
                  <c:v>MSFT</c:v>
                </c:pt>
                <c:pt idx="2">
                  <c:v>XOM</c:v>
                </c:pt>
                <c:pt idx="3">
                  <c:v>JPM</c:v>
                </c:pt>
                <c:pt idx="4">
                  <c:v>UNH</c:v>
                </c:pt>
              </c:strCache>
            </c:strRef>
          </c:cat>
          <c:val>
            <c:numRef>
              <c:f>'Risk Analysis'!$K$10:$K$14</c:f>
              <c:numCache>
                <c:formatCode>0.00%</c:formatCode>
                <c:ptCount val="5"/>
                <c:pt idx="0">
                  <c:v>0.26601039360168804</c:v>
                </c:pt>
                <c:pt idx="1">
                  <c:v>0.31399928115797943</c:v>
                </c:pt>
                <c:pt idx="2">
                  <c:v>0.19663867662592452</c:v>
                </c:pt>
                <c:pt idx="3">
                  <c:v>0.14436198108781503</c:v>
                </c:pt>
                <c:pt idx="4">
                  <c:v>7.8989667526592824E-2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C-475B-984B-9AE397D9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989216"/>
        <c:axId val="526024608"/>
      </c:barChart>
      <c:catAx>
        <c:axId val="5849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24608"/>
        <c:crosses val="autoZero"/>
        <c:auto val="1"/>
        <c:lblAlgn val="ctr"/>
        <c:lblOffset val="100"/>
        <c:noMultiLvlLbl val="0"/>
      </c:catAx>
      <c:valAx>
        <c:axId val="5260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8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18</xdr:row>
      <xdr:rowOff>9525</xdr:rowOff>
    </xdr:from>
    <xdr:to>
      <xdr:col>8</xdr:col>
      <xdr:colOff>9525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88C40-E75A-7C6B-F03D-5D0BB50DE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38</xdr:row>
      <xdr:rowOff>9525</xdr:rowOff>
    </xdr:from>
    <xdr:to>
      <xdr:col>8</xdr:col>
      <xdr:colOff>0</xdr:colOff>
      <xdr:row>55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971754-0B5A-ABD7-C400-895B07D30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581024</xdr:colOff>
      <xdr:row>59</xdr:row>
      <xdr:rowOff>28574</xdr:rowOff>
    </xdr:from>
    <xdr:to>
      <xdr:col>7</xdr:col>
      <xdr:colOff>600075</xdr:colOff>
      <xdr:row>76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7DE9AB-41F9-06B8-610E-6B0C59F18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8CF35C-F1CC-4AFB-84E8-1DE6D4862AF6}" name="Weight" displayName="Weight" ref="A1:B6" totalsRowShown="0">
  <autoFilter ref="A1:B6" xr:uid="{DF8CF35C-F1CC-4AFB-84E8-1DE6D4862AF6}"/>
  <tableColumns count="2">
    <tableColumn id="1" xr3:uid="{CED059E5-878E-4BE4-89C6-A15B1CDCA59D}" name="Asset"/>
    <tableColumn id="2" xr3:uid="{D7FFDAF4-F463-4FFD-8F28-F59C53A16498}" name="Weight" dataDxfId="2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E43F85-3713-414A-A6D9-4AF1C02C6608}" name="PriceData" displayName="PriceData" ref="A2:F1257" totalsRowShown="0" headerRowDxfId="27">
  <autoFilter ref="A2:F1257" xr:uid="{A4E43F85-3713-414A-A6D9-4AF1C02C6608}"/>
  <tableColumns count="6">
    <tableColumn id="1" xr3:uid="{88DA5133-5047-4A2C-889C-70CF11448CC4}" name="Date "/>
    <tableColumn id="2" xr3:uid="{5E8269A2-FE74-4F63-8389-2A709A35B8CA}" name="GOOGL"/>
    <tableColumn id="3" xr3:uid="{31581F2C-06EF-4191-AF32-908ED6528981}" name="MSFT"/>
    <tableColumn id="4" xr3:uid="{970F6898-12AA-40B1-8BBC-8F189C93F0F6}" name="XOM"/>
    <tableColumn id="5" xr3:uid="{801461BD-737C-4965-A940-6B1A9CC33F34}" name="JPM "/>
    <tableColumn id="6" xr3:uid="{C1EFA598-EF23-4204-B725-8F9D64F361C2}" name="UNH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1D6F8F-BE6A-4845-896A-7C745DCF9996}" name="Daily_Return" displayName="Daily_Return" ref="A1:J1256" totalsRowShown="0" headerRowDxfId="25">
  <autoFilter ref="A1:J1256" xr:uid="{C71D6F8F-BE6A-4845-896A-7C745DCF9996}"/>
  <sortState xmlns:xlrd2="http://schemas.microsoft.com/office/spreadsheetml/2017/richdata2" ref="A2:F1256">
    <sortCondition ref="A2:A1256"/>
  </sortState>
  <tableColumns count="10">
    <tableColumn id="1" xr3:uid="{0E9EB63A-A49B-444F-BD87-032234457906}" name="Date " dataDxfId="24"/>
    <tableColumn id="2" xr3:uid="{175A80B5-7B3D-4A16-86C3-34885D74BCA1}" name="GOOGL">
      <calculatedColumnFormula>(Prices!B4/Prices!B3)-1</calculatedColumnFormula>
    </tableColumn>
    <tableColumn id="3" xr3:uid="{EFC428CF-D843-4BB9-B2EB-798F18CC7E0D}" name="MSFT">
      <calculatedColumnFormula>(Prices!C4/Prices!C3)-1</calculatedColumnFormula>
    </tableColumn>
    <tableColumn id="4" xr3:uid="{961C13B1-20AC-44DC-ADFB-2F6DD991B608}" name="XOM">
      <calculatedColumnFormula>(Prices!D4/Prices!D3)-1</calculatedColumnFormula>
    </tableColumn>
    <tableColumn id="5" xr3:uid="{9CCA063E-2C90-42A0-97FC-EA1C9FAB52B7}" name="JPM">
      <calculatedColumnFormula>(Prices!E4/Prices!E3)-1</calculatedColumnFormula>
    </tableColumn>
    <tableColumn id="6" xr3:uid="{86956293-0370-4D01-BC88-B0F6737C874B}" name="UNH">
      <calculatedColumnFormula>(Prices!F4/Prices!F3)-1</calculatedColumnFormula>
    </tableColumn>
    <tableColumn id="7" xr3:uid="{B4AA4FF5-ACC7-44B8-A574-808DCB4754EF}" name="Portfolio Return " dataDxfId="23">
      <calculatedColumnFormula>B2*20%+C2*20%+D2*20%+E2*20%+F2*20%</calculatedColumnFormula>
    </tableColumn>
    <tableColumn id="8" xr3:uid="{DE6F5090-75EE-49ED-93AB-156E6605B901}" name="Portfolio Value " dataDxfId="22"/>
    <tableColumn id="9" xr3:uid="{BD590E0D-0DA6-49F0-B5AB-7ABCDAD9E22A}" name="Running High" dataDxfId="14">
      <calculatedColumnFormula>MAX(I1,H2)</calculatedColumnFormula>
    </tableColumn>
    <tableColumn id="10" xr3:uid="{A50D82E6-08C2-4F8A-8C2C-48323B74783B}" name="Drawdown " dataDxfId="13">
      <calculatedColumnFormula>(H2-I2)/I2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7CC9D8-B168-46FF-AEFA-C1AA0CE88A38}" name="AnnualisedVolatility" displayName="AnnualisedVolatility" ref="B2:C7" totalsRowShown="0">
  <autoFilter ref="B2:C7" xr:uid="{1F7CC9D8-B168-46FF-AEFA-C1AA0CE88A38}"/>
  <tableColumns count="2">
    <tableColumn id="1" xr3:uid="{11193C83-F193-4EE4-AD20-4DE7F0D85AA5}" name="Asset"/>
    <tableColumn id="2" xr3:uid="{CC2C6BE9-4552-43E2-A853-9DC4656A82EE}" name="Annualised Volatility " dataDxfId="21" dataCellStyle="Percent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E41ADA-2CC1-4748-A2CF-5DB1AA7D4077}" name="CorMatrix" displayName="CorMatrix" ref="E2:J7" totalsRowShown="0">
  <autoFilter ref="E2:J7" xr:uid="{8DE41ADA-2CC1-4748-A2CF-5DB1AA7D4077}"/>
  <tableColumns count="6">
    <tableColumn id="1" xr3:uid="{0E8B7B80-1844-4266-9DD1-C74B331BD75A}" name="Column1"/>
    <tableColumn id="2" xr3:uid="{B05BAE3C-2C26-461E-AC2B-F2321CE12C4B}" name="GOOGL" dataDxfId="20"/>
    <tableColumn id="3" xr3:uid="{E716DCAE-F42B-4CC5-A959-A6135C06AC00}" name="MSFT" dataDxfId="19"/>
    <tableColumn id="4" xr3:uid="{86BE373A-D3FC-4385-B4D5-6BC311441E81}" name="XOM" dataDxfId="18"/>
    <tableColumn id="5" xr3:uid="{CD22257F-0F57-4A27-A8B9-5607121FBA61}" name="JPM" dataDxfId="17"/>
    <tableColumn id="6" xr3:uid="{030CC086-47F2-4CDA-8632-BDA1C1876CFA}" name="UNH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8ECC9A-9BDB-4DE7-A796-ED0D39A9E712}" name="CovMatrix" displayName="CovMatrix" ref="L2:Q7" totalsRowShown="0">
  <autoFilter ref="L2:Q7" xr:uid="{878ECC9A-9BDB-4DE7-A796-ED0D39A9E712}"/>
  <tableColumns count="6">
    <tableColumn id="1" xr3:uid="{733C3B71-74AF-416A-9727-898A59E62AA4}" name="Column1"/>
    <tableColumn id="2" xr3:uid="{75EC8686-E358-4D99-B462-BB0338DE1243}" name="GOOGL"/>
    <tableColumn id="3" xr3:uid="{4EFCFDAE-1C00-4D9F-B05D-828702FF2637}" name="MSFT"/>
    <tableColumn id="4" xr3:uid="{7CC8F918-2F18-4A4F-85BE-34DAC8CD574F}" name="XOM"/>
    <tableColumn id="5" xr3:uid="{1DB9426F-06C2-47CB-9785-AF8358E7BEC0}" name="JPM"/>
    <tableColumn id="6" xr3:uid="{25BF5879-5F14-49C3-ABD1-A7F1F71E9BA1}" name="UNH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8B8234-38FA-409D-8745-30C41BD84982}" name="RiskAnalysisWeights" displayName="RiskAnalysisWeights" ref="S2:T7" totalsRowShown="0">
  <autoFilter ref="S2:T7" xr:uid="{F68B8234-38FA-409D-8745-30C41BD84982}"/>
  <tableColumns count="2">
    <tableColumn id="1" xr3:uid="{E83C7245-FFDE-4D2C-B5E4-DFFFFF166CB9}" name="Stock "/>
    <tableColumn id="2" xr3:uid="{6F38D34F-43EA-471A-BE29-77F6FBAFF71C}" name="Weight" dataDxfId="15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CB1764-8ED9-4067-A1F0-119F3DBFA230}" name="VaR" displayName="VaR" ref="E9:G12" totalsRowShown="0">
  <autoFilter ref="E9:G12" xr:uid="{56CB1764-8ED9-4067-A1F0-119F3DBFA230}"/>
  <tableColumns count="3">
    <tableColumn id="1" xr3:uid="{6B5AE81C-D894-4346-8D00-518831A3D749}" name="Column1" dataDxfId="12"/>
    <tableColumn id="2" xr3:uid="{70D483BC-43B3-4D17-8D71-F7ED3F0B550F}" name="95%" dataDxfId="11">
      <calculatedColumnFormula>1.645*C9*1000000</calculatedColumnFormula>
    </tableColumn>
    <tableColumn id="3" xr3:uid="{6F431203-68B7-417A-8D0D-CC35452881AA}" name="99%" dataDxfId="10">
      <calculatedColumnFormula>2.326*C9*1000000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2B30052-A448-43DD-8B19-F8038617D5C3}" name="Table18" displayName="Table18" ref="I9:L15" totalsRowShown="0" headerRowDxfId="0">
  <autoFilter ref="I9:L15" xr:uid="{A2B30052-A448-43DD-8B19-F8038617D5C3}"/>
  <tableColumns count="4">
    <tableColumn id="1" xr3:uid="{C320638D-5466-43B2-8BE2-6051CFD74305}" name="Asset"/>
    <tableColumn id="2" xr3:uid="{35F04B7A-2EFE-432E-A859-1DB891F42365}" name="Weight" dataDxfId="2"/>
    <tableColumn id="3" xr3:uid="{6A7F7D78-E788-415D-9DB8-B56C7E51F263}" name="Risk Contribution " dataDxfId="1"/>
    <tableColumn id="4" xr3:uid="{D9D63A0E-C49B-43B8-9C94-39F3A14C3CCC}" name="Workings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FD2E92-A5BC-4145-BE74-420D547DE74A}" name="StressTest" displayName="StressTest" ref="B2:I8" totalsRowShown="0">
  <autoFilter ref="B2:I8" xr:uid="{03FD2E92-A5BC-4145-BE74-420D547DE74A}"/>
  <tableColumns count="8">
    <tableColumn id="1" xr3:uid="{8A45CDF9-7D3B-4826-A162-1A1F01DE0A00}" name="Scenario "/>
    <tableColumn id="2" xr3:uid="{FAF64B57-4B5B-489A-9F62-00FF020357AD}" name="GOOGL" dataDxfId="9"/>
    <tableColumn id="3" xr3:uid="{9E089D56-CDFA-453C-B3EA-B0C68E3CCE3D}" name="MSFT" dataDxfId="8"/>
    <tableColumn id="4" xr3:uid="{3A5E2464-09A2-40CE-A5BE-F65438ADEFBB}" name="XOM" dataDxfId="7"/>
    <tableColumn id="5" xr3:uid="{C68CDB69-7DDF-44AF-B8B4-E2F0EC289582}" name="JPM" dataDxfId="6"/>
    <tableColumn id="6" xr3:uid="{0CABA5F5-D290-4EBA-9EC1-CBC7E107E33D}" name="UNH" dataDxfId="5"/>
    <tableColumn id="7" xr3:uid="{5637039C-6CFA-4E08-9CED-D3C47A1D24A4}" name="Portfolio Impact " dataDxfId="4">
      <calculatedColumnFormula>SUM(C3:G3)*20%</calculatedColumnFormula>
    </tableColumn>
    <tableColumn id="8" xr3:uid="{EA2B90C6-8A44-4263-AB12-A776A5844BEA}" name="£ Impact " dataDxfId="3">
      <calculatedColumnFormula>H3*1000000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6D83-9FA2-4AF5-8472-C3F9AD80399F}">
  <dimension ref="A1:Y204"/>
  <sheetViews>
    <sheetView tabSelected="1" topLeftCell="A3" zoomScaleNormal="100" workbookViewId="0">
      <selection activeCell="C12" sqref="C12"/>
    </sheetView>
  </sheetViews>
  <sheetFormatPr defaultRowHeight="15" x14ac:dyDescent="0.25"/>
  <cols>
    <col min="2" max="2" width="24.28515625" bestFit="1" customWidth="1"/>
    <col min="3" max="3" width="32" bestFit="1" customWidth="1"/>
    <col min="4" max="4" width="23.140625" bestFit="1" customWidth="1"/>
  </cols>
  <sheetData>
    <row r="1" spans="1:19" ht="15.75" x14ac:dyDescent="0.25">
      <c r="C1" s="14" t="s">
        <v>1299</v>
      </c>
    </row>
    <row r="2" spans="1:19" ht="18" customHeight="1" thickBo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.75" thickTop="1" x14ac:dyDescent="0.25">
      <c r="B3" s="2"/>
      <c r="C3" s="18"/>
    </row>
    <row r="4" spans="1:19" x14ac:dyDescent="0.25">
      <c r="B4" s="2" t="s">
        <v>1296</v>
      </c>
      <c r="C4" s="18" t="s">
        <v>1297</v>
      </c>
    </row>
    <row r="5" spans="1:19" x14ac:dyDescent="0.25">
      <c r="B5" s="19">
        <v>1000000</v>
      </c>
      <c r="C5" s="20">
        <f>(Returns!H1257/1000000)^(1/5)-1</f>
        <v>-1</v>
      </c>
    </row>
    <row r="7" spans="1:19" x14ac:dyDescent="0.25">
      <c r="B7" s="2" t="s">
        <v>1298</v>
      </c>
      <c r="C7" s="2" t="s">
        <v>1300</v>
      </c>
    </row>
    <row r="8" spans="1:19" x14ac:dyDescent="0.25">
      <c r="B8" s="20">
        <v>0.14399999999999999</v>
      </c>
      <c r="C8" s="20">
        <f>C5/B8</f>
        <v>-6.9444444444444446</v>
      </c>
    </row>
    <row r="10" spans="1:19" x14ac:dyDescent="0.25">
      <c r="B10" s="2" t="s">
        <v>1301</v>
      </c>
      <c r="C10" s="2" t="s">
        <v>1302</v>
      </c>
    </row>
    <row r="11" spans="1:19" x14ac:dyDescent="0.25">
      <c r="B11" s="20">
        <v>-0.50370000000000004</v>
      </c>
      <c r="C11" s="21">
        <v>16642.36</v>
      </c>
      <c r="D11" s="1"/>
    </row>
    <row r="12" spans="1:19" x14ac:dyDescent="0.25">
      <c r="D12" s="1"/>
    </row>
    <row r="13" spans="1:19" x14ac:dyDescent="0.25">
      <c r="B13" s="2" t="s">
        <v>1303</v>
      </c>
      <c r="C13" s="2" t="s">
        <v>1304</v>
      </c>
      <c r="D13" s="1"/>
    </row>
    <row r="14" spans="1:19" x14ac:dyDescent="0.25">
      <c r="B14" s="21">
        <v>28114.05</v>
      </c>
      <c r="C14" s="22" t="s">
        <v>1305</v>
      </c>
      <c r="D14" s="1"/>
    </row>
    <row r="15" spans="1:19" x14ac:dyDescent="0.25">
      <c r="D15" s="1"/>
    </row>
    <row r="16" spans="1:19" ht="15.75" thickBo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2:12" ht="15.75" thickTop="1" x14ac:dyDescent="0.25">
      <c r="B17" s="2"/>
    </row>
    <row r="18" spans="2:12" x14ac:dyDescent="0.25">
      <c r="B18" s="2" t="s">
        <v>1296</v>
      </c>
    </row>
    <row r="19" spans="2:12" x14ac:dyDescent="0.25">
      <c r="B19" s="2"/>
    </row>
    <row r="20" spans="2:12" x14ac:dyDescent="0.25">
      <c r="B20" s="2"/>
      <c r="C20" s="13"/>
      <c r="K20" s="2"/>
    </row>
    <row r="21" spans="2:12" x14ac:dyDescent="0.25">
      <c r="B21" s="2"/>
      <c r="C21" s="8"/>
      <c r="K21" s="2"/>
      <c r="L21" s="13"/>
    </row>
    <row r="22" spans="2:12" x14ac:dyDescent="0.25">
      <c r="K22" s="2"/>
      <c r="L22" s="8"/>
    </row>
    <row r="38" spans="1:25" x14ac:dyDescent="0.25">
      <c r="B38" s="2" t="s">
        <v>1308</v>
      </c>
    </row>
    <row r="46" spans="1:25" x14ac:dyDescent="0.25">
      <c r="A46" s="16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x14ac:dyDescent="0.25">
      <c r="A47" s="16"/>
      <c r="B47" s="15"/>
      <c r="C47" s="23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x14ac:dyDescent="0.25">
      <c r="A48" s="16"/>
      <c r="B48" s="15" t="s">
        <v>1306</v>
      </c>
      <c r="C48" s="2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x14ac:dyDescent="0.25">
      <c r="A49" s="16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5.75" thickBo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6"/>
      <c r="U57" s="16"/>
      <c r="V57" s="16"/>
      <c r="W57" s="16"/>
      <c r="X57" s="16"/>
      <c r="Y57" s="16"/>
    </row>
    <row r="58" spans="1:25" ht="15.75" thickTop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x14ac:dyDescent="0.25">
      <c r="A59" s="16"/>
      <c r="B59" s="15" t="s">
        <v>1309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5.75" thickBo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6"/>
      <c r="U79" s="16"/>
      <c r="V79" s="16"/>
      <c r="W79" s="16"/>
      <c r="X79" s="16"/>
      <c r="Y79" s="16"/>
    </row>
    <row r="80" spans="1:25" ht="15.75" thickTop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x14ac:dyDescent="0.25">
      <c r="A81" s="16"/>
      <c r="B81" s="15" t="s">
        <v>1312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x14ac:dyDescent="0.25">
      <c r="A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x14ac:dyDescent="0.25">
      <c r="A83" s="16"/>
      <c r="B83" s="2" t="s">
        <v>1295</v>
      </c>
      <c r="C83" t="s">
        <v>1286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x14ac:dyDescent="0.25">
      <c r="A84" s="16"/>
      <c r="B84" s="2" t="s">
        <v>1291</v>
      </c>
      <c r="C84" s="13">
        <f>_xlfn.XLOOKUP(C83,StressTest[[Scenario ]],StressTest[[Portfolio Impact ]])</f>
        <v>-0.05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x14ac:dyDescent="0.25">
      <c r="A85" s="16"/>
      <c r="B85" s="2" t="s">
        <v>1294</v>
      </c>
      <c r="C85" s="8">
        <f>_xlfn.XLOOKUP(Dashboard!C83,StressTest[[Scenario ]],StressTest[[£ Impact ]])</f>
        <v>-50000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x14ac:dyDescent="0.25">
      <c r="A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</sheetData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6500C6-8085-416C-A8B8-4A8FC905661E}">
          <x14:formula1>
            <xm:f>'Stress Tests'!$B$3:$B$8</xm:f>
          </x14:formula1>
          <xm:sqref>C19 C46 L20 C83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5443-A481-4675-8EAC-0A2A968A744F}">
  <dimension ref="A1:C13"/>
  <sheetViews>
    <sheetView workbookViewId="0">
      <selection activeCell="C14" sqref="C14"/>
    </sheetView>
  </sheetViews>
  <sheetFormatPr defaultRowHeight="15" x14ac:dyDescent="0.25"/>
  <cols>
    <col min="2" max="2" width="13.140625" customWidth="1"/>
    <col min="3" max="3" width="28.5703125" customWidth="1"/>
  </cols>
  <sheetData>
    <row r="1" spans="1:3" x14ac:dyDescent="0.25">
      <c r="A1" t="s">
        <v>1263</v>
      </c>
      <c r="B1" t="s">
        <v>1264</v>
      </c>
    </row>
    <row r="2" spans="1:3" x14ac:dyDescent="0.25">
      <c r="A2" t="s">
        <v>1</v>
      </c>
      <c r="B2" s="1">
        <v>0.2</v>
      </c>
    </row>
    <row r="3" spans="1:3" x14ac:dyDescent="0.25">
      <c r="A3" t="s">
        <v>2</v>
      </c>
      <c r="B3" s="1">
        <v>0.2</v>
      </c>
    </row>
    <row r="4" spans="1:3" x14ac:dyDescent="0.25">
      <c r="A4" t="s">
        <v>3</v>
      </c>
      <c r="B4" s="1">
        <v>0.2</v>
      </c>
    </row>
    <row r="5" spans="1:3" x14ac:dyDescent="0.25">
      <c r="A5" t="s">
        <v>4</v>
      </c>
      <c r="B5" s="1">
        <v>0.2</v>
      </c>
    </row>
    <row r="6" spans="1:3" x14ac:dyDescent="0.25">
      <c r="A6" t="s">
        <v>5</v>
      </c>
      <c r="B6" s="1">
        <v>0.2</v>
      </c>
    </row>
    <row r="9" spans="1:3" x14ac:dyDescent="0.25">
      <c r="C9" s="1"/>
    </row>
    <row r="10" spans="1:3" x14ac:dyDescent="0.25">
      <c r="C10" s="1"/>
    </row>
    <row r="11" spans="1:3" x14ac:dyDescent="0.25">
      <c r="C11" s="1"/>
    </row>
    <row r="12" spans="1:3" x14ac:dyDescent="0.25">
      <c r="C12" s="1"/>
    </row>
    <row r="13" spans="1:3" x14ac:dyDescent="0.25">
      <c r="C1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7A78-B4F0-4EAF-B25D-CADD361FC7C6}">
  <dimension ref="A2:F1257"/>
  <sheetViews>
    <sheetView workbookViewId="0">
      <selection activeCell="E16" sqref="E16"/>
    </sheetView>
  </sheetViews>
  <sheetFormatPr defaultRowHeight="15" x14ac:dyDescent="0.25"/>
  <cols>
    <col min="1" max="1" width="12" bestFit="1" customWidth="1"/>
    <col min="2" max="2" width="9.85546875" customWidth="1"/>
  </cols>
  <sheetData>
    <row r="2" spans="1:6" x14ac:dyDescent="0.25">
      <c r="A2" s="2" t="s">
        <v>6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5</v>
      </c>
    </row>
    <row r="3" spans="1:6" x14ac:dyDescent="0.25">
      <c r="A3" t="s">
        <v>8</v>
      </c>
      <c r="B3">
        <v>349.54</v>
      </c>
      <c r="C3">
        <v>493.78</v>
      </c>
      <c r="D3">
        <v>163.54</v>
      </c>
      <c r="E3">
        <v>349.67</v>
      </c>
      <c r="F3">
        <v>376.9</v>
      </c>
    </row>
    <row r="4" spans="1:6" x14ac:dyDescent="0.25">
      <c r="A4" t="s">
        <v>9</v>
      </c>
      <c r="B4">
        <v>347.33</v>
      </c>
      <c r="C4">
        <v>497.75</v>
      </c>
      <c r="D4">
        <v>163.27000000000001</v>
      </c>
      <c r="E4">
        <v>349.31</v>
      </c>
      <c r="F4">
        <v>375.21</v>
      </c>
    </row>
    <row r="5" spans="1:6" x14ac:dyDescent="0.25">
      <c r="A5" t="s">
        <v>10</v>
      </c>
      <c r="B5">
        <v>342.87</v>
      </c>
      <c r="C5">
        <v>490.3</v>
      </c>
      <c r="D5">
        <v>163.32</v>
      </c>
      <c r="E5">
        <v>348.92</v>
      </c>
      <c r="F5">
        <v>375.26</v>
      </c>
    </row>
    <row r="6" spans="1:6" x14ac:dyDescent="0.25">
      <c r="A6" t="s">
        <v>11</v>
      </c>
      <c r="B6">
        <v>344.98</v>
      </c>
      <c r="C6">
        <v>497.12</v>
      </c>
      <c r="D6">
        <v>169.32</v>
      </c>
      <c r="E6">
        <v>352.49</v>
      </c>
      <c r="F6">
        <v>375.93</v>
      </c>
    </row>
    <row r="7" spans="1:6" x14ac:dyDescent="0.25">
      <c r="A7" t="s">
        <v>12</v>
      </c>
      <c r="B7">
        <v>349.39</v>
      </c>
      <c r="C7">
        <v>505.41</v>
      </c>
      <c r="D7">
        <v>165.08</v>
      </c>
      <c r="E7">
        <v>350.13</v>
      </c>
      <c r="F7">
        <v>383.55</v>
      </c>
    </row>
    <row r="8" spans="1:6" x14ac:dyDescent="0.25">
      <c r="A8" t="s">
        <v>13</v>
      </c>
      <c r="B8">
        <v>338.5</v>
      </c>
      <c r="C8">
        <v>495.63</v>
      </c>
      <c r="D8">
        <v>165.99</v>
      </c>
      <c r="E8">
        <v>356.23</v>
      </c>
      <c r="F8">
        <v>376.77</v>
      </c>
    </row>
    <row r="9" spans="1:6" x14ac:dyDescent="0.25">
      <c r="A9" t="s">
        <v>14</v>
      </c>
      <c r="B9">
        <v>332.6</v>
      </c>
      <c r="C9">
        <v>492.44</v>
      </c>
      <c r="D9">
        <v>165.23</v>
      </c>
      <c r="E9">
        <v>353.56</v>
      </c>
      <c r="F9">
        <v>385.9</v>
      </c>
    </row>
    <row r="10" spans="1:6" x14ac:dyDescent="0.25">
      <c r="A10" t="s">
        <v>15</v>
      </c>
      <c r="B10">
        <v>330.65</v>
      </c>
      <c r="C10">
        <v>491.65</v>
      </c>
      <c r="D10">
        <v>164.23</v>
      </c>
      <c r="E10">
        <v>354.71</v>
      </c>
      <c r="F10">
        <v>390.65</v>
      </c>
    </row>
    <row r="11" spans="1:6" x14ac:dyDescent="0.25">
      <c r="A11" t="s">
        <v>16</v>
      </c>
      <c r="B11">
        <v>338.36</v>
      </c>
      <c r="C11">
        <v>493.95</v>
      </c>
      <c r="D11">
        <v>160.66</v>
      </c>
      <c r="E11">
        <v>353.51</v>
      </c>
      <c r="F11">
        <v>398.39</v>
      </c>
    </row>
    <row r="12" spans="1:6" x14ac:dyDescent="0.25">
      <c r="A12" t="s">
        <v>17</v>
      </c>
      <c r="B12">
        <v>338.46</v>
      </c>
      <c r="C12">
        <v>499.7</v>
      </c>
      <c r="D12">
        <v>159.47</v>
      </c>
      <c r="E12">
        <v>358.64</v>
      </c>
      <c r="F12">
        <v>394.71</v>
      </c>
    </row>
    <row r="13" spans="1:6" x14ac:dyDescent="0.25">
      <c r="A13" t="s">
        <v>18</v>
      </c>
      <c r="B13">
        <v>342.26</v>
      </c>
      <c r="C13">
        <v>510.12</v>
      </c>
      <c r="D13">
        <v>162.21</v>
      </c>
      <c r="E13">
        <v>362.06</v>
      </c>
      <c r="F13">
        <v>398.49</v>
      </c>
    </row>
    <row r="14" spans="1:6" x14ac:dyDescent="0.25">
      <c r="A14" t="s">
        <v>19</v>
      </c>
      <c r="B14">
        <v>336.9</v>
      </c>
      <c r="C14">
        <v>496.82</v>
      </c>
      <c r="D14">
        <v>164.15</v>
      </c>
      <c r="E14">
        <v>356.22</v>
      </c>
      <c r="F14">
        <v>397.21</v>
      </c>
    </row>
    <row r="15" spans="1:6" x14ac:dyDescent="0.25">
      <c r="A15" t="s">
        <v>20</v>
      </c>
      <c r="B15">
        <v>334.8</v>
      </c>
      <c r="C15">
        <v>501.02</v>
      </c>
      <c r="D15">
        <v>164.55</v>
      </c>
      <c r="E15">
        <v>354.95</v>
      </c>
      <c r="F15">
        <v>393.87</v>
      </c>
    </row>
    <row r="16" spans="1:6" x14ac:dyDescent="0.25">
      <c r="A16" t="s">
        <v>21</v>
      </c>
      <c r="B16">
        <v>339.13</v>
      </c>
      <c r="C16">
        <v>507.29</v>
      </c>
      <c r="D16">
        <v>160.94999999999999</v>
      </c>
      <c r="E16">
        <v>356.02</v>
      </c>
      <c r="F16">
        <v>387.03</v>
      </c>
    </row>
    <row r="17" spans="1:6" x14ac:dyDescent="0.25">
      <c r="A17" t="s">
        <v>22</v>
      </c>
      <c r="B17">
        <v>346.37</v>
      </c>
      <c r="C17">
        <v>513.53</v>
      </c>
      <c r="D17">
        <v>156.71</v>
      </c>
      <c r="E17">
        <v>357.62</v>
      </c>
      <c r="F17">
        <v>390.55</v>
      </c>
    </row>
    <row r="18" spans="1:6" x14ac:dyDescent="0.25">
      <c r="A18" t="s">
        <v>23</v>
      </c>
      <c r="B18">
        <v>340.43</v>
      </c>
      <c r="C18">
        <v>505.06</v>
      </c>
      <c r="D18">
        <v>156.44</v>
      </c>
      <c r="E18">
        <v>354.22</v>
      </c>
      <c r="F18">
        <v>392.63</v>
      </c>
    </row>
    <row r="19" spans="1:6" x14ac:dyDescent="0.25">
      <c r="A19" t="s">
        <v>24</v>
      </c>
      <c r="B19">
        <v>341.78</v>
      </c>
      <c r="C19">
        <v>496.37</v>
      </c>
      <c r="D19">
        <v>158.19</v>
      </c>
      <c r="E19">
        <v>356.5</v>
      </c>
      <c r="F19">
        <v>398.56</v>
      </c>
    </row>
    <row r="20" spans="1:6" x14ac:dyDescent="0.25">
      <c r="A20" t="s">
        <v>25</v>
      </c>
      <c r="B20">
        <v>346.74</v>
      </c>
      <c r="C20">
        <v>491.71</v>
      </c>
      <c r="D20">
        <v>160.63999999999999</v>
      </c>
      <c r="E20">
        <v>356.69</v>
      </c>
      <c r="F20">
        <v>394.16</v>
      </c>
    </row>
    <row r="21" spans="1:6" x14ac:dyDescent="0.25">
      <c r="A21" t="s">
        <v>26</v>
      </c>
      <c r="B21">
        <v>347.84</v>
      </c>
      <c r="C21">
        <v>487.31</v>
      </c>
      <c r="D21">
        <v>164.05</v>
      </c>
      <c r="E21">
        <v>356.39</v>
      </c>
      <c r="F21">
        <v>396.32</v>
      </c>
    </row>
    <row r="22" spans="1:6" x14ac:dyDescent="0.25">
      <c r="A22" t="s">
        <v>27</v>
      </c>
      <c r="B22">
        <v>344.6</v>
      </c>
      <c r="C22">
        <v>483.24</v>
      </c>
      <c r="D22">
        <v>165.11</v>
      </c>
      <c r="E22">
        <v>351.58</v>
      </c>
      <c r="F22">
        <v>387.72</v>
      </c>
    </row>
    <row r="23" spans="1:6" x14ac:dyDescent="0.25">
      <c r="A23" t="s">
        <v>28</v>
      </c>
      <c r="B23">
        <v>340.45</v>
      </c>
      <c r="C23">
        <v>481.15</v>
      </c>
      <c r="D23">
        <v>166.15</v>
      </c>
      <c r="E23">
        <v>351.55</v>
      </c>
      <c r="F23">
        <v>382.49</v>
      </c>
    </row>
    <row r="24" spans="1:6" x14ac:dyDescent="0.25">
      <c r="A24" t="s">
        <v>29</v>
      </c>
      <c r="B24">
        <v>344.5</v>
      </c>
      <c r="C24">
        <v>483.4</v>
      </c>
      <c r="D24">
        <v>164.77</v>
      </c>
      <c r="E24">
        <v>357.26</v>
      </c>
      <c r="F24">
        <v>386.23</v>
      </c>
    </row>
    <row r="25" spans="1:6" x14ac:dyDescent="0.25">
      <c r="A25" t="s">
        <v>30</v>
      </c>
      <c r="B25">
        <v>343.98</v>
      </c>
      <c r="C25">
        <v>480.73</v>
      </c>
      <c r="D25">
        <v>165.56</v>
      </c>
      <c r="E25">
        <v>363.25</v>
      </c>
      <c r="F25">
        <v>391.52</v>
      </c>
    </row>
    <row r="26" spans="1:6" x14ac:dyDescent="0.25">
      <c r="A26" t="s">
        <v>31</v>
      </c>
      <c r="B26">
        <v>343.78</v>
      </c>
      <c r="C26">
        <v>479.45</v>
      </c>
      <c r="D26">
        <v>161.46</v>
      </c>
      <c r="E26">
        <v>360.96</v>
      </c>
      <c r="F26">
        <v>393.2</v>
      </c>
    </row>
    <row r="27" spans="1:6" x14ac:dyDescent="0.25">
      <c r="A27" t="s">
        <v>32</v>
      </c>
      <c r="B27">
        <v>345.68</v>
      </c>
      <c r="C27">
        <v>494.47</v>
      </c>
      <c r="D27">
        <v>159.07</v>
      </c>
      <c r="E27">
        <v>362.84</v>
      </c>
      <c r="F27">
        <v>399.27</v>
      </c>
    </row>
    <row r="28" spans="1:6" x14ac:dyDescent="0.25">
      <c r="A28" t="s">
        <v>33</v>
      </c>
      <c r="B28">
        <v>346.14</v>
      </c>
      <c r="C28">
        <v>495.95</v>
      </c>
      <c r="D28">
        <v>157.59</v>
      </c>
      <c r="E28">
        <v>363.11</v>
      </c>
      <c r="F28">
        <v>396.62</v>
      </c>
    </row>
    <row r="29" spans="1:6" x14ac:dyDescent="0.25">
      <c r="A29" t="s">
        <v>34</v>
      </c>
      <c r="B29">
        <v>343.32</v>
      </c>
      <c r="C29">
        <v>491.5</v>
      </c>
      <c r="D29">
        <v>158.72</v>
      </c>
      <c r="E29">
        <v>365.18</v>
      </c>
      <c r="F29">
        <v>403.11</v>
      </c>
    </row>
    <row r="30" spans="1:6" x14ac:dyDescent="0.25">
      <c r="A30" t="s">
        <v>35</v>
      </c>
      <c r="B30">
        <v>343.58</v>
      </c>
      <c r="C30">
        <v>502.86</v>
      </c>
      <c r="D30">
        <v>158.77000000000001</v>
      </c>
      <c r="E30">
        <v>362.04</v>
      </c>
      <c r="F30">
        <v>399.73</v>
      </c>
    </row>
    <row r="31" spans="1:6" x14ac:dyDescent="0.25">
      <c r="A31" t="s">
        <v>36</v>
      </c>
      <c r="B31">
        <v>357.29</v>
      </c>
      <c r="C31">
        <v>505.11</v>
      </c>
      <c r="D31">
        <v>158.76</v>
      </c>
      <c r="E31">
        <v>359.79</v>
      </c>
      <c r="F31">
        <v>406.24</v>
      </c>
    </row>
    <row r="32" spans="1:6" x14ac:dyDescent="0.25">
      <c r="A32" t="s">
        <v>37</v>
      </c>
      <c r="B32">
        <v>354.07</v>
      </c>
      <c r="C32">
        <v>499.05</v>
      </c>
      <c r="D32">
        <v>152.06</v>
      </c>
      <c r="E32">
        <v>357.52</v>
      </c>
      <c r="F32">
        <v>404.59</v>
      </c>
    </row>
    <row r="33" spans="1:6" x14ac:dyDescent="0.25">
      <c r="A33" t="s">
        <v>38</v>
      </c>
      <c r="B33">
        <v>357.52</v>
      </c>
      <c r="C33">
        <v>498.92</v>
      </c>
      <c r="D33">
        <v>153.84</v>
      </c>
      <c r="E33">
        <v>356.3</v>
      </c>
      <c r="F33">
        <v>401.5</v>
      </c>
    </row>
    <row r="34" spans="1:6" x14ac:dyDescent="0.25">
      <c r="A34" t="s">
        <v>39</v>
      </c>
      <c r="B34">
        <v>362.2</v>
      </c>
      <c r="C34">
        <v>486.54</v>
      </c>
      <c r="D34">
        <v>150.65</v>
      </c>
      <c r="E34">
        <v>359.24</v>
      </c>
      <c r="F34">
        <v>410.22</v>
      </c>
    </row>
    <row r="35" spans="1:6" x14ac:dyDescent="0.25">
      <c r="A35" t="s">
        <v>40</v>
      </c>
      <c r="B35">
        <v>377.41</v>
      </c>
      <c r="C35">
        <v>491.88</v>
      </c>
      <c r="D35">
        <v>152.97</v>
      </c>
      <c r="E35">
        <v>357.52</v>
      </c>
      <c r="F35">
        <v>405.06</v>
      </c>
    </row>
    <row r="36" spans="1:6" x14ac:dyDescent="0.25">
      <c r="A36" t="s">
        <v>41</v>
      </c>
      <c r="B36">
        <v>373.27</v>
      </c>
      <c r="C36">
        <v>486.73</v>
      </c>
      <c r="D36">
        <v>154.06</v>
      </c>
      <c r="E36">
        <v>352.64</v>
      </c>
      <c r="F36">
        <v>412.82</v>
      </c>
    </row>
    <row r="37" spans="1:6" x14ac:dyDescent="0.25">
      <c r="A37" t="s">
        <v>42</v>
      </c>
      <c r="B37">
        <v>355.9</v>
      </c>
      <c r="C37">
        <v>463.85</v>
      </c>
      <c r="D37">
        <v>154.44</v>
      </c>
      <c r="E37">
        <v>351.79</v>
      </c>
      <c r="F37">
        <v>411.86</v>
      </c>
    </row>
    <row r="38" spans="1:6" x14ac:dyDescent="0.25">
      <c r="A38" t="s">
        <v>43</v>
      </c>
      <c r="B38">
        <v>333.45</v>
      </c>
      <c r="C38">
        <v>450.25</v>
      </c>
      <c r="D38">
        <v>155.96</v>
      </c>
      <c r="E38">
        <v>350.85</v>
      </c>
      <c r="F38">
        <v>418.89</v>
      </c>
    </row>
    <row r="39" spans="1:6" x14ac:dyDescent="0.25">
      <c r="A39" t="s">
        <v>44</v>
      </c>
      <c r="B39">
        <v>336.49</v>
      </c>
      <c r="C39">
        <v>389.81</v>
      </c>
      <c r="D39">
        <v>155.74</v>
      </c>
      <c r="E39">
        <v>344.71</v>
      </c>
      <c r="F39">
        <v>418</v>
      </c>
    </row>
    <row r="40" spans="1:6" x14ac:dyDescent="0.25">
      <c r="A40" t="s">
        <v>45</v>
      </c>
      <c r="B40">
        <v>333.5</v>
      </c>
      <c r="C40">
        <v>392.61</v>
      </c>
      <c r="D40">
        <v>152.06</v>
      </c>
      <c r="E40">
        <v>357.31</v>
      </c>
      <c r="F40">
        <v>426.17</v>
      </c>
    </row>
    <row r="41" spans="1:6" x14ac:dyDescent="0.25">
      <c r="A41" t="s">
        <v>46</v>
      </c>
      <c r="B41">
        <v>326.35000000000002</v>
      </c>
      <c r="C41">
        <v>388.37</v>
      </c>
      <c r="D41">
        <v>153.77000000000001</v>
      </c>
      <c r="E41">
        <v>356.2</v>
      </c>
      <c r="F41">
        <v>415.08</v>
      </c>
    </row>
    <row r="42" spans="1:6" x14ac:dyDescent="0.25">
      <c r="A42" t="s">
        <v>47</v>
      </c>
      <c r="B42">
        <v>319.52999999999997</v>
      </c>
      <c r="C42">
        <v>380.98</v>
      </c>
      <c r="D42">
        <v>155.93</v>
      </c>
      <c r="E42">
        <v>353.21</v>
      </c>
      <c r="F42">
        <v>418.17</v>
      </c>
    </row>
    <row r="43" spans="1:6" x14ac:dyDescent="0.25">
      <c r="A43" t="s">
        <v>48</v>
      </c>
      <c r="B43">
        <v>317.49</v>
      </c>
      <c r="C43">
        <v>380.86</v>
      </c>
      <c r="D43">
        <v>155.88</v>
      </c>
      <c r="E43">
        <v>349.9</v>
      </c>
      <c r="F43">
        <v>420.97</v>
      </c>
    </row>
    <row r="44" spans="1:6" x14ac:dyDescent="0.25">
      <c r="A44" t="s">
        <v>49</v>
      </c>
      <c r="B44">
        <v>341.87</v>
      </c>
      <c r="C44">
        <v>389.61</v>
      </c>
      <c r="D44">
        <v>153.46</v>
      </c>
      <c r="E44">
        <v>348.21</v>
      </c>
      <c r="F44">
        <v>428.67</v>
      </c>
    </row>
    <row r="45" spans="1:6" x14ac:dyDescent="0.25">
      <c r="A45" t="s">
        <v>50</v>
      </c>
      <c r="B45">
        <v>346.93</v>
      </c>
      <c r="C45">
        <v>397</v>
      </c>
      <c r="D45">
        <v>150.72999999999999</v>
      </c>
      <c r="E45">
        <v>345.23</v>
      </c>
      <c r="F45">
        <v>433.68</v>
      </c>
    </row>
    <row r="46" spans="1:6" x14ac:dyDescent="0.25">
      <c r="A46" t="s">
        <v>51</v>
      </c>
      <c r="B46">
        <v>351.76</v>
      </c>
      <c r="C46">
        <v>401.53</v>
      </c>
      <c r="D46">
        <v>147.41</v>
      </c>
      <c r="E46">
        <v>338.87</v>
      </c>
      <c r="F46">
        <v>418.97</v>
      </c>
    </row>
    <row r="47" spans="1:6" x14ac:dyDescent="0.25">
      <c r="A47" t="s">
        <v>52</v>
      </c>
      <c r="B47">
        <v>346.55</v>
      </c>
      <c r="C47">
        <v>393.08</v>
      </c>
      <c r="D47">
        <v>146.41</v>
      </c>
      <c r="E47">
        <v>341.1</v>
      </c>
      <c r="F47">
        <v>423.48</v>
      </c>
    </row>
    <row r="48" spans="1:6" x14ac:dyDescent="0.25">
      <c r="A48" t="s">
        <v>53</v>
      </c>
      <c r="B48">
        <v>354.23</v>
      </c>
      <c r="C48">
        <v>400.35</v>
      </c>
      <c r="D48">
        <v>145.01</v>
      </c>
      <c r="E48">
        <v>343.15</v>
      </c>
      <c r="F48">
        <v>420.79</v>
      </c>
    </row>
    <row r="49" spans="1:6" x14ac:dyDescent="0.25">
      <c r="A49" t="s">
        <v>54</v>
      </c>
      <c r="B49">
        <v>370.68</v>
      </c>
      <c r="C49">
        <v>394.89</v>
      </c>
      <c r="D49">
        <v>143.58000000000001</v>
      </c>
      <c r="E49">
        <v>346.91</v>
      </c>
      <c r="F49">
        <v>415.96</v>
      </c>
    </row>
    <row r="50" spans="1:6" x14ac:dyDescent="0.25">
      <c r="A50" t="s">
        <v>55</v>
      </c>
      <c r="B50">
        <v>359.28</v>
      </c>
      <c r="C50">
        <v>384.21</v>
      </c>
      <c r="D50">
        <v>144.16</v>
      </c>
      <c r="E50">
        <v>342.89</v>
      </c>
      <c r="F50">
        <v>422.59</v>
      </c>
    </row>
    <row r="51" spans="1:6" x14ac:dyDescent="0.25">
      <c r="A51" t="s">
        <v>56</v>
      </c>
      <c r="B51">
        <v>352.28</v>
      </c>
      <c r="C51">
        <v>390.26</v>
      </c>
      <c r="D51">
        <v>143.58000000000001</v>
      </c>
      <c r="E51">
        <v>334.53</v>
      </c>
      <c r="F51">
        <v>426.46</v>
      </c>
    </row>
    <row r="52" spans="1:6" x14ac:dyDescent="0.25">
      <c r="A52" t="s">
        <v>57</v>
      </c>
      <c r="B52">
        <v>356.95</v>
      </c>
      <c r="C52">
        <v>384.38</v>
      </c>
      <c r="D52">
        <v>137.99</v>
      </c>
      <c r="E52">
        <v>336.47</v>
      </c>
      <c r="F52">
        <v>422.02</v>
      </c>
    </row>
    <row r="53" spans="1:6" x14ac:dyDescent="0.25">
      <c r="A53" t="s">
        <v>58</v>
      </c>
      <c r="B53">
        <v>358.66</v>
      </c>
      <c r="C53">
        <v>383.64</v>
      </c>
      <c r="D53">
        <v>136.58000000000001</v>
      </c>
      <c r="E53">
        <v>335.47</v>
      </c>
      <c r="F53">
        <v>429.04</v>
      </c>
    </row>
    <row r="54" spans="1:6" x14ac:dyDescent="0.25">
      <c r="A54" t="s">
        <v>59</v>
      </c>
      <c r="B54">
        <v>361.69</v>
      </c>
      <c r="C54">
        <v>382.62</v>
      </c>
      <c r="D54">
        <v>140.22</v>
      </c>
      <c r="E54">
        <v>330.62</v>
      </c>
      <c r="F54">
        <v>423</v>
      </c>
    </row>
    <row r="55" spans="1:6" x14ac:dyDescent="0.25">
      <c r="A55" t="s">
        <v>60</v>
      </c>
      <c r="B55">
        <v>366.79</v>
      </c>
      <c r="C55">
        <v>388.11</v>
      </c>
      <c r="D55">
        <v>140.78</v>
      </c>
      <c r="E55">
        <v>339.22</v>
      </c>
      <c r="F55">
        <v>425.57</v>
      </c>
    </row>
    <row r="56" spans="1:6" x14ac:dyDescent="0.25">
      <c r="A56" t="s">
        <v>61</v>
      </c>
      <c r="B56">
        <v>366.22</v>
      </c>
      <c r="C56">
        <v>386.01</v>
      </c>
      <c r="D56">
        <v>135.56</v>
      </c>
      <c r="E56">
        <v>337.72</v>
      </c>
      <c r="F56">
        <v>415.43</v>
      </c>
    </row>
    <row r="57" spans="1:6" x14ac:dyDescent="0.25">
      <c r="A57" t="s">
        <v>62</v>
      </c>
      <c r="B57">
        <v>359.68</v>
      </c>
      <c r="C57">
        <v>389.76</v>
      </c>
      <c r="D57">
        <v>136.21</v>
      </c>
      <c r="E57">
        <v>332.97</v>
      </c>
      <c r="F57">
        <v>422.76</v>
      </c>
    </row>
    <row r="58" spans="1:6" x14ac:dyDescent="0.25">
      <c r="A58" t="s">
        <v>63</v>
      </c>
      <c r="B58">
        <v>360.98</v>
      </c>
      <c r="C58">
        <v>383.56</v>
      </c>
      <c r="D58">
        <v>135.4</v>
      </c>
      <c r="E58">
        <v>332.57</v>
      </c>
      <c r="F58">
        <v>423.93</v>
      </c>
    </row>
    <row r="59" spans="1:6" x14ac:dyDescent="0.25">
      <c r="A59" t="s">
        <v>64</v>
      </c>
      <c r="B59">
        <v>357.14</v>
      </c>
      <c r="C59">
        <v>372.32</v>
      </c>
      <c r="D59">
        <v>135.84</v>
      </c>
      <c r="E59">
        <v>325.86</v>
      </c>
      <c r="F59">
        <v>413.09</v>
      </c>
    </row>
    <row r="60" spans="1:6" x14ac:dyDescent="0.25">
      <c r="A60" t="s">
        <v>65</v>
      </c>
      <c r="B60">
        <v>353.42</v>
      </c>
      <c r="C60">
        <v>367.88</v>
      </c>
      <c r="D60">
        <v>135.18</v>
      </c>
      <c r="E60">
        <v>327.91</v>
      </c>
      <c r="F60">
        <v>417.25</v>
      </c>
    </row>
    <row r="61" spans="1:6" x14ac:dyDescent="0.25">
      <c r="A61" t="s">
        <v>66</v>
      </c>
      <c r="B61">
        <v>337.17</v>
      </c>
      <c r="C61">
        <v>372.27</v>
      </c>
      <c r="D61">
        <v>135.66</v>
      </c>
      <c r="E61">
        <v>327.57</v>
      </c>
      <c r="F61">
        <v>425.27</v>
      </c>
    </row>
    <row r="62" spans="1:6" x14ac:dyDescent="0.25">
      <c r="A62" t="s">
        <v>67</v>
      </c>
      <c r="B62">
        <v>343.49</v>
      </c>
      <c r="C62">
        <v>352.17</v>
      </c>
      <c r="D62">
        <v>136.66999999999999</v>
      </c>
      <c r="E62">
        <v>333.62</v>
      </c>
      <c r="F62">
        <v>412.99</v>
      </c>
    </row>
    <row r="63" spans="1:6" x14ac:dyDescent="0.25">
      <c r="A63" t="s">
        <v>68</v>
      </c>
      <c r="B63">
        <v>345.07</v>
      </c>
      <c r="C63">
        <v>364.77</v>
      </c>
      <c r="D63">
        <v>136.02000000000001</v>
      </c>
      <c r="E63">
        <v>331.95</v>
      </c>
      <c r="F63">
        <v>403.32</v>
      </c>
    </row>
    <row r="64" spans="1:6" x14ac:dyDescent="0.25">
      <c r="A64" t="s">
        <v>69</v>
      </c>
      <c r="B64">
        <v>345.91</v>
      </c>
      <c r="C64">
        <v>373.24</v>
      </c>
      <c r="D64">
        <v>138.83000000000001</v>
      </c>
      <c r="E64">
        <v>332.64</v>
      </c>
      <c r="F64">
        <v>406.75</v>
      </c>
    </row>
    <row r="65" spans="1:6" x14ac:dyDescent="0.25">
      <c r="A65" t="s">
        <v>70</v>
      </c>
      <c r="B65">
        <v>349.46</v>
      </c>
      <c r="C65">
        <v>366.65</v>
      </c>
      <c r="D65">
        <v>137.58000000000001</v>
      </c>
      <c r="E65">
        <v>329.99</v>
      </c>
      <c r="F65">
        <v>404.19</v>
      </c>
    </row>
    <row r="66" spans="1:6" x14ac:dyDescent="0.25">
      <c r="A66" t="s">
        <v>71</v>
      </c>
      <c r="B66">
        <v>367.79</v>
      </c>
      <c r="C66">
        <v>378.69</v>
      </c>
      <c r="D66">
        <v>136.91999999999999</v>
      </c>
      <c r="E66">
        <v>323.76</v>
      </c>
      <c r="F66">
        <v>398.51</v>
      </c>
    </row>
    <row r="67" spans="1:6" x14ac:dyDescent="0.25">
      <c r="A67" t="s">
        <v>72</v>
      </c>
      <c r="B67">
        <v>363.56</v>
      </c>
      <c r="C67">
        <v>378.2</v>
      </c>
      <c r="D67">
        <v>139.83000000000001</v>
      </c>
      <c r="E67">
        <v>331.96</v>
      </c>
      <c r="F67">
        <v>397.08</v>
      </c>
    </row>
    <row r="68" spans="1:6" x14ac:dyDescent="0.25">
      <c r="A68" t="s">
        <v>73</v>
      </c>
      <c r="B68">
        <v>373.01</v>
      </c>
      <c r="C68">
        <v>393.09</v>
      </c>
      <c r="D68">
        <v>140.94999999999999</v>
      </c>
      <c r="E68">
        <v>329.65</v>
      </c>
      <c r="F68">
        <v>405.16</v>
      </c>
    </row>
    <row r="69" spans="1:6" x14ac:dyDescent="0.25">
      <c r="A69" t="s">
        <v>74</v>
      </c>
      <c r="B69">
        <v>369.11</v>
      </c>
      <c r="C69">
        <v>399.01</v>
      </c>
      <c r="D69">
        <v>140.01</v>
      </c>
      <c r="E69">
        <v>317.97000000000003</v>
      </c>
      <c r="F69">
        <v>408.52</v>
      </c>
    </row>
    <row r="70" spans="1:6" x14ac:dyDescent="0.25">
      <c r="A70" t="s">
        <v>75</v>
      </c>
      <c r="B70">
        <v>359.45</v>
      </c>
      <c r="C70">
        <v>390.01</v>
      </c>
      <c r="D70">
        <v>146.06</v>
      </c>
      <c r="E70">
        <v>319.27999999999997</v>
      </c>
      <c r="F70">
        <v>403.71</v>
      </c>
    </row>
    <row r="71" spans="1:6" x14ac:dyDescent="0.25">
      <c r="A71" t="s">
        <v>76</v>
      </c>
      <c r="B71">
        <v>357.54</v>
      </c>
      <c r="C71">
        <v>389.61</v>
      </c>
      <c r="D71">
        <v>145.66</v>
      </c>
      <c r="E71">
        <v>312.08</v>
      </c>
      <c r="F71">
        <v>400.78</v>
      </c>
    </row>
    <row r="72" spans="1:6" x14ac:dyDescent="0.25">
      <c r="A72" t="s">
        <v>77</v>
      </c>
      <c r="B72">
        <v>356.15</v>
      </c>
      <c r="C72">
        <v>396.61</v>
      </c>
      <c r="D72">
        <v>149.65</v>
      </c>
      <c r="E72">
        <v>307.75</v>
      </c>
      <c r="F72">
        <v>402.67</v>
      </c>
    </row>
    <row r="73" spans="1:6" x14ac:dyDescent="0.25">
      <c r="A73" t="s">
        <v>78</v>
      </c>
      <c r="B73">
        <v>364.03</v>
      </c>
      <c r="C73">
        <v>402.65</v>
      </c>
      <c r="D73">
        <v>147.94999999999999</v>
      </c>
      <c r="E73">
        <v>311.3</v>
      </c>
      <c r="F73">
        <v>408.14</v>
      </c>
    </row>
    <row r="74" spans="1:6" x14ac:dyDescent="0.25">
      <c r="A74" t="s">
        <v>79</v>
      </c>
      <c r="B74">
        <v>363.08</v>
      </c>
      <c r="C74">
        <v>410.97</v>
      </c>
      <c r="D74">
        <v>150.77000000000001</v>
      </c>
      <c r="E74">
        <v>309.70999999999998</v>
      </c>
      <c r="F74">
        <v>401.79</v>
      </c>
    </row>
    <row r="75" spans="1:6" x14ac:dyDescent="0.25">
      <c r="A75" t="s">
        <v>80</v>
      </c>
      <c r="B75">
        <v>368.07</v>
      </c>
      <c r="C75">
        <v>415.89</v>
      </c>
      <c r="D75">
        <v>148.96</v>
      </c>
      <c r="E75">
        <v>310.97000000000003</v>
      </c>
      <c r="F75">
        <v>394.77</v>
      </c>
    </row>
    <row r="76" spans="1:6" x14ac:dyDescent="0.25">
      <c r="A76" t="s">
        <v>81</v>
      </c>
      <c r="B76">
        <v>371.73</v>
      </c>
      <c r="C76">
        <v>427.25</v>
      </c>
      <c r="D76">
        <v>151.06</v>
      </c>
      <c r="E76">
        <v>309.5</v>
      </c>
      <c r="F76">
        <v>391.81</v>
      </c>
    </row>
    <row r="77" spans="1:6" x14ac:dyDescent="0.25">
      <c r="A77" t="s">
        <v>82</v>
      </c>
      <c r="B77">
        <v>358.55</v>
      </c>
      <c r="C77">
        <v>426.54</v>
      </c>
      <c r="D77">
        <v>151.55000000000001</v>
      </c>
      <c r="E77">
        <v>299.5</v>
      </c>
      <c r="F77">
        <v>372.56</v>
      </c>
    </row>
    <row r="78" spans="1:6" x14ac:dyDescent="0.25">
      <c r="A78" t="s">
        <v>83</v>
      </c>
      <c r="B78">
        <v>361.4</v>
      </c>
      <c r="C78">
        <v>440.48</v>
      </c>
      <c r="D78">
        <v>148.6</v>
      </c>
      <c r="E78">
        <v>299.61</v>
      </c>
      <c r="F78">
        <v>373.47</v>
      </c>
    </row>
    <row r="79" spans="1:6" x14ac:dyDescent="0.25">
      <c r="A79" t="s">
        <v>84</v>
      </c>
      <c r="B79">
        <v>375.9</v>
      </c>
      <c r="C79">
        <v>459.65</v>
      </c>
      <c r="D79">
        <v>148.41999999999999</v>
      </c>
      <c r="E79">
        <v>295.25</v>
      </c>
      <c r="F79">
        <v>375.39</v>
      </c>
    </row>
    <row r="80" spans="1:6" x14ac:dyDescent="0.25">
      <c r="A80" t="s">
        <v>85</v>
      </c>
      <c r="B80">
        <v>379.87</v>
      </c>
      <c r="C80">
        <v>449.39</v>
      </c>
      <c r="D80">
        <v>144.33000000000001</v>
      </c>
      <c r="E80">
        <v>297.97000000000003</v>
      </c>
      <c r="F80">
        <v>375.84</v>
      </c>
    </row>
    <row r="81" spans="1:6" x14ac:dyDescent="0.25">
      <c r="A81" t="s">
        <v>86</v>
      </c>
      <c r="B81">
        <v>389.65</v>
      </c>
      <c r="C81">
        <v>426.19</v>
      </c>
      <c r="D81">
        <v>146.01</v>
      </c>
      <c r="E81">
        <v>295.39999999999998</v>
      </c>
      <c r="F81">
        <v>378.03</v>
      </c>
    </row>
    <row r="82" spans="1:6" x14ac:dyDescent="0.25">
      <c r="A82" t="s">
        <v>87</v>
      </c>
      <c r="B82">
        <v>388.35</v>
      </c>
      <c r="C82">
        <v>411.89</v>
      </c>
      <c r="D82">
        <v>146.94999999999999</v>
      </c>
      <c r="E82">
        <v>297.94</v>
      </c>
      <c r="F82">
        <v>379.49</v>
      </c>
    </row>
    <row r="83" spans="1:6" x14ac:dyDescent="0.25">
      <c r="A83" t="s">
        <v>88</v>
      </c>
      <c r="B83">
        <v>388.4</v>
      </c>
      <c r="C83">
        <v>415.25</v>
      </c>
      <c r="D83">
        <v>148.85</v>
      </c>
      <c r="E83">
        <v>305.36</v>
      </c>
      <c r="F83">
        <v>372.43</v>
      </c>
    </row>
    <row r="84" spans="1:6" x14ac:dyDescent="0.25">
      <c r="A84" t="s">
        <v>89</v>
      </c>
      <c r="B84">
        <v>382.5</v>
      </c>
      <c r="C84">
        <v>417.78</v>
      </c>
      <c r="D84">
        <v>153.91999999999999</v>
      </c>
      <c r="E84">
        <v>305.01</v>
      </c>
      <c r="F84">
        <v>383.9</v>
      </c>
    </row>
    <row r="85" spans="1:6" x14ac:dyDescent="0.25">
      <c r="A85" t="s">
        <v>90</v>
      </c>
      <c r="B85">
        <v>387.18</v>
      </c>
      <c r="C85">
        <v>418.3</v>
      </c>
      <c r="D85">
        <v>154.29</v>
      </c>
      <c r="E85">
        <v>301.64</v>
      </c>
      <c r="F85">
        <v>377.98</v>
      </c>
    </row>
    <row r="86" spans="1:6" x14ac:dyDescent="0.25">
      <c r="A86" t="s">
        <v>91</v>
      </c>
      <c r="B86">
        <v>388.43</v>
      </c>
      <c r="C86">
        <v>419.36</v>
      </c>
      <c r="D86">
        <v>155.27000000000001</v>
      </c>
      <c r="E86">
        <v>300.63</v>
      </c>
      <c r="F86">
        <v>378.79</v>
      </c>
    </row>
    <row r="87" spans="1:6" x14ac:dyDescent="0.25">
      <c r="A87" t="s">
        <v>92</v>
      </c>
      <c r="B87">
        <v>387.18</v>
      </c>
      <c r="C87">
        <v>415.74</v>
      </c>
      <c r="D87">
        <v>161.5</v>
      </c>
      <c r="E87">
        <v>294.37</v>
      </c>
      <c r="F87">
        <v>384.66</v>
      </c>
    </row>
    <row r="88" spans="1:6" x14ac:dyDescent="0.25">
      <c r="A88" t="s">
        <v>93</v>
      </c>
      <c r="B88">
        <v>396.45</v>
      </c>
      <c r="C88">
        <v>421.83</v>
      </c>
      <c r="D88">
        <v>159.46</v>
      </c>
      <c r="E88">
        <v>299.38</v>
      </c>
      <c r="F88">
        <v>386.53</v>
      </c>
    </row>
    <row r="89" spans="1:6" x14ac:dyDescent="0.25">
      <c r="A89" t="s">
        <v>94</v>
      </c>
      <c r="B89">
        <v>396.29</v>
      </c>
      <c r="C89">
        <v>420.22</v>
      </c>
      <c r="D89">
        <v>156.9</v>
      </c>
      <c r="E89">
        <v>296.47000000000003</v>
      </c>
      <c r="F89">
        <v>389.22</v>
      </c>
    </row>
    <row r="90" spans="1:6" x14ac:dyDescent="0.25">
      <c r="A90" t="s">
        <v>95</v>
      </c>
      <c r="B90">
        <v>400.57</v>
      </c>
      <c r="C90">
        <v>407.78</v>
      </c>
      <c r="D90">
        <v>150.77000000000001</v>
      </c>
      <c r="E90">
        <v>298.57</v>
      </c>
      <c r="F90">
        <v>394.4</v>
      </c>
    </row>
    <row r="91" spans="1:6" x14ac:dyDescent="0.25">
      <c r="A91" t="s">
        <v>96</v>
      </c>
      <c r="B91">
        <v>402.12</v>
      </c>
      <c r="C91">
        <v>403.57</v>
      </c>
      <c r="D91">
        <v>149.58000000000001</v>
      </c>
      <c r="E91">
        <v>298.89999999999998</v>
      </c>
      <c r="F91">
        <v>396.44</v>
      </c>
    </row>
    <row r="92" spans="1:6" x14ac:dyDescent="0.25">
      <c r="A92" t="s">
        <v>97</v>
      </c>
      <c r="B92">
        <v>386.87</v>
      </c>
      <c r="C92">
        <v>406.12</v>
      </c>
      <c r="D92">
        <v>148.65</v>
      </c>
      <c r="E92">
        <v>303.51</v>
      </c>
      <c r="F92">
        <v>391.73</v>
      </c>
    </row>
    <row r="93" spans="1:6" x14ac:dyDescent="0.25">
      <c r="A93" t="s">
        <v>98</v>
      </c>
      <c r="B93">
        <v>388.16</v>
      </c>
      <c r="C93">
        <v>410.99</v>
      </c>
      <c r="D93">
        <v>147.71</v>
      </c>
      <c r="E93">
        <v>298.64999999999998</v>
      </c>
      <c r="F93">
        <v>379.92</v>
      </c>
    </row>
    <row r="94" spans="1:6" x14ac:dyDescent="0.25">
      <c r="A94" t="s">
        <v>99</v>
      </c>
      <c r="B94">
        <v>400.3</v>
      </c>
      <c r="C94">
        <v>413.44</v>
      </c>
      <c r="D94">
        <v>142.66999999999999</v>
      </c>
      <c r="E94">
        <v>300.75</v>
      </c>
      <c r="F94">
        <v>375.51</v>
      </c>
    </row>
    <row r="95" spans="1:6" x14ac:dyDescent="0.25">
      <c r="A95" t="s">
        <v>100</v>
      </c>
      <c r="B95">
        <v>397.5</v>
      </c>
      <c r="C95">
        <v>419.07</v>
      </c>
      <c r="D95">
        <v>144.66</v>
      </c>
      <c r="E95">
        <v>304.89999999999998</v>
      </c>
      <c r="F95">
        <v>365.39</v>
      </c>
    </row>
    <row r="96" spans="1:6" x14ac:dyDescent="0.25">
      <c r="A96" t="s">
        <v>101</v>
      </c>
      <c r="B96">
        <v>397.55</v>
      </c>
      <c r="C96">
        <v>412.29</v>
      </c>
      <c r="D96">
        <v>146.74</v>
      </c>
      <c r="E96">
        <v>313.49</v>
      </c>
      <c r="F96">
        <v>362.96</v>
      </c>
    </row>
    <row r="97" spans="1:6" x14ac:dyDescent="0.25">
      <c r="A97" t="s">
        <v>102</v>
      </c>
      <c r="B97">
        <v>387.95</v>
      </c>
      <c r="C97">
        <v>409.72</v>
      </c>
      <c r="D97">
        <v>152.85</v>
      </c>
      <c r="E97">
        <v>308.01</v>
      </c>
      <c r="F97">
        <v>359.59</v>
      </c>
    </row>
    <row r="98" spans="1:6" x14ac:dyDescent="0.25">
      <c r="A98" t="s">
        <v>103</v>
      </c>
      <c r="B98">
        <v>382.78</v>
      </c>
      <c r="C98">
        <v>411.95</v>
      </c>
      <c r="D98">
        <v>151.66999999999999</v>
      </c>
      <c r="E98">
        <v>306.27</v>
      </c>
      <c r="F98">
        <v>366.39</v>
      </c>
    </row>
    <row r="99" spans="1:6" x14ac:dyDescent="0.25">
      <c r="A99" t="s">
        <v>104</v>
      </c>
      <c r="B99">
        <v>385.21</v>
      </c>
      <c r="C99">
        <v>412.77</v>
      </c>
      <c r="D99">
        <v>150.74</v>
      </c>
      <c r="E99">
        <v>311.07</v>
      </c>
      <c r="F99">
        <v>364.44</v>
      </c>
    </row>
    <row r="100" spans="1:6" x14ac:dyDescent="0.25">
      <c r="A100" t="s">
        <v>105</v>
      </c>
      <c r="B100">
        <v>384.32</v>
      </c>
      <c r="C100">
        <v>406.13</v>
      </c>
      <c r="D100">
        <v>152.30000000000001</v>
      </c>
      <c r="E100">
        <v>311.83</v>
      </c>
      <c r="F100">
        <v>366.12</v>
      </c>
    </row>
    <row r="101" spans="1:6" x14ac:dyDescent="0.25">
      <c r="A101" t="s">
        <v>106</v>
      </c>
      <c r="B101">
        <v>349.51</v>
      </c>
      <c r="C101">
        <v>422.75</v>
      </c>
      <c r="D101">
        <v>152.63999999999999</v>
      </c>
      <c r="E101">
        <v>307.86</v>
      </c>
      <c r="F101">
        <v>366.38</v>
      </c>
    </row>
    <row r="102" spans="1:6" x14ac:dyDescent="0.25">
      <c r="A102" t="s">
        <v>107</v>
      </c>
      <c r="B102">
        <v>349.35</v>
      </c>
      <c r="C102">
        <v>427.52</v>
      </c>
      <c r="D102">
        <v>148.58000000000001</v>
      </c>
      <c r="E102">
        <v>310.05</v>
      </c>
      <c r="F102">
        <v>362.46</v>
      </c>
    </row>
    <row r="103" spans="1:6" x14ac:dyDescent="0.25">
      <c r="A103" t="s">
        <v>108</v>
      </c>
      <c r="B103">
        <v>349.91</v>
      </c>
      <c r="C103">
        <v>423.11</v>
      </c>
      <c r="D103">
        <v>146.24</v>
      </c>
      <c r="E103">
        <v>310.23</v>
      </c>
      <c r="F103">
        <v>350.52</v>
      </c>
    </row>
    <row r="104" spans="1:6" x14ac:dyDescent="0.25">
      <c r="A104" t="s">
        <v>109</v>
      </c>
      <c r="B104">
        <v>343.97</v>
      </c>
      <c r="C104">
        <v>422.91</v>
      </c>
      <c r="D104">
        <v>146.94999999999999</v>
      </c>
      <c r="E104">
        <v>306.89999999999998</v>
      </c>
      <c r="F104">
        <v>350.74</v>
      </c>
    </row>
    <row r="105" spans="1:6" x14ac:dyDescent="0.25">
      <c r="A105" t="s">
        <v>110</v>
      </c>
      <c r="B105">
        <v>338.47</v>
      </c>
      <c r="C105">
        <v>414.07</v>
      </c>
      <c r="D105">
        <v>148.55000000000001</v>
      </c>
      <c r="E105">
        <v>310.29000000000002</v>
      </c>
      <c r="F105">
        <v>350.39</v>
      </c>
    </row>
    <row r="106" spans="1:6" x14ac:dyDescent="0.25">
      <c r="A106" t="s">
        <v>111</v>
      </c>
      <c r="B106">
        <v>338.9</v>
      </c>
      <c r="C106">
        <v>431.17</v>
      </c>
      <c r="D106">
        <v>147.54</v>
      </c>
      <c r="E106">
        <v>311.62</v>
      </c>
      <c r="F106">
        <v>349.36</v>
      </c>
    </row>
    <row r="107" spans="1:6" x14ac:dyDescent="0.25">
      <c r="A107" t="s">
        <v>112</v>
      </c>
      <c r="B107">
        <v>331.88</v>
      </c>
      <c r="C107">
        <v>422.45</v>
      </c>
      <c r="D107">
        <v>146.41</v>
      </c>
      <c r="E107">
        <v>311.60000000000002</v>
      </c>
      <c r="F107">
        <v>341.94</v>
      </c>
    </row>
    <row r="108" spans="1:6" x14ac:dyDescent="0.25">
      <c r="A108" t="s">
        <v>113</v>
      </c>
      <c r="B108">
        <v>337</v>
      </c>
      <c r="C108">
        <v>416.38</v>
      </c>
      <c r="D108">
        <v>145.74</v>
      </c>
      <c r="E108">
        <v>315.57</v>
      </c>
      <c r="F108">
        <v>319.67</v>
      </c>
    </row>
    <row r="109" spans="1:6" x14ac:dyDescent="0.25">
      <c r="A109" t="s">
        <v>114</v>
      </c>
      <c r="B109">
        <v>341.26</v>
      </c>
      <c r="C109">
        <v>421.08</v>
      </c>
      <c r="D109">
        <v>144.52000000000001</v>
      </c>
      <c r="E109">
        <v>308.89999999999998</v>
      </c>
      <c r="F109">
        <v>320.81</v>
      </c>
    </row>
    <row r="110" spans="1:6" x14ac:dyDescent="0.25">
      <c r="A110" t="s">
        <v>115</v>
      </c>
      <c r="B110">
        <v>335.6</v>
      </c>
      <c r="C110">
        <v>418.56</v>
      </c>
      <c r="D110">
        <v>149.97999999999999</v>
      </c>
      <c r="E110">
        <v>308.56</v>
      </c>
      <c r="F110">
        <v>312.68</v>
      </c>
    </row>
    <row r="111" spans="1:6" x14ac:dyDescent="0.25">
      <c r="A111" t="s">
        <v>116</v>
      </c>
      <c r="B111">
        <v>336.7</v>
      </c>
      <c r="C111">
        <v>409.56</v>
      </c>
      <c r="D111">
        <v>147.05000000000001</v>
      </c>
      <c r="E111">
        <v>304.56</v>
      </c>
      <c r="F111">
        <v>310.36</v>
      </c>
    </row>
    <row r="112" spans="1:6" x14ac:dyDescent="0.25">
      <c r="A112" t="s">
        <v>117</v>
      </c>
      <c r="B112">
        <v>332.5</v>
      </c>
      <c r="C112">
        <v>391.52</v>
      </c>
      <c r="D112">
        <v>147.28</v>
      </c>
      <c r="E112">
        <v>309.72000000000003</v>
      </c>
      <c r="F112">
        <v>310.49</v>
      </c>
    </row>
    <row r="113" spans="1:6" x14ac:dyDescent="0.25">
      <c r="A113" t="s">
        <v>118</v>
      </c>
      <c r="B113">
        <v>320.91000000000003</v>
      </c>
      <c r="C113">
        <v>382.82</v>
      </c>
      <c r="D113">
        <v>150.63999999999999</v>
      </c>
      <c r="E113">
        <v>312.27</v>
      </c>
      <c r="F113">
        <v>309.32</v>
      </c>
    </row>
    <row r="114" spans="1:6" x14ac:dyDescent="0.25">
      <c r="A114" t="s">
        <v>119</v>
      </c>
      <c r="B114">
        <v>316.85000000000002</v>
      </c>
      <c r="C114">
        <v>369.37</v>
      </c>
      <c r="D114">
        <v>150.51</v>
      </c>
      <c r="E114">
        <v>308.48</v>
      </c>
      <c r="F114">
        <v>300.75</v>
      </c>
    </row>
    <row r="115" spans="1:6" x14ac:dyDescent="0.25">
      <c r="A115" t="s">
        <v>120</v>
      </c>
      <c r="B115">
        <v>318.10000000000002</v>
      </c>
      <c r="C115">
        <v>371.56</v>
      </c>
      <c r="D115">
        <v>153</v>
      </c>
      <c r="E115">
        <v>308.94</v>
      </c>
      <c r="F115">
        <v>303.3</v>
      </c>
    </row>
    <row r="116" spans="1:6" x14ac:dyDescent="0.25">
      <c r="A116" t="s">
        <v>121</v>
      </c>
      <c r="B116">
        <v>316.93</v>
      </c>
      <c r="C116">
        <v>372.82</v>
      </c>
      <c r="D116">
        <v>154.16999999999999</v>
      </c>
      <c r="E116">
        <v>306.58999999999997</v>
      </c>
      <c r="F116">
        <v>302.38</v>
      </c>
    </row>
    <row r="117" spans="1:6" x14ac:dyDescent="0.25">
      <c r="A117" t="s">
        <v>122</v>
      </c>
      <c r="B117">
        <v>305.08</v>
      </c>
      <c r="C117">
        <v>370.79</v>
      </c>
      <c r="D117">
        <v>161.76</v>
      </c>
      <c r="E117">
        <v>296.07</v>
      </c>
      <c r="F117">
        <v>304.11</v>
      </c>
    </row>
    <row r="118" spans="1:6" x14ac:dyDescent="0.25">
      <c r="A118" t="s">
        <v>123</v>
      </c>
      <c r="B118">
        <v>299.62</v>
      </c>
      <c r="C118">
        <v>371.38</v>
      </c>
      <c r="D118">
        <v>161.22</v>
      </c>
      <c r="E118">
        <v>294.12</v>
      </c>
      <c r="F118">
        <v>278.05</v>
      </c>
    </row>
    <row r="119" spans="1:6" x14ac:dyDescent="0.25">
      <c r="A119" t="s">
        <v>124</v>
      </c>
      <c r="B119">
        <v>295.39999999999998</v>
      </c>
      <c r="C119">
        <v>371.95</v>
      </c>
      <c r="D119">
        <v>158.58000000000001</v>
      </c>
      <c r="E119">
        <v>291.79000000000002</v>
      </c>
      <c r="F119">
        <v>274</v>
      </c>
    </row>
    <row r="120" spans="1:6" x14ac:dyDescent="0.25">
      <c r="A120" t="s">
        <v>125</v>
      </c>
      <c r="B120">
        <v>297.02</v>
      </c>
      <c r="C120">
        <v>367.88</v>
      </c>
      <c r="D120">
        <v>158.66999999999999</v>
      </c>
      <c r="E120">
        <v>292.56</v>
      </c>
      <c r="F120">
        <v>270.76</v>
      </c>
    </row>
    <row r="121" spans="1:6" x14ac:dyDescent="0.25">
      <c r="A121" t="s">
        <v>126</v>
      </c>
      <c r="B121">
        <v>287.2</v>
      </c>
      <c r="C121">
        <v>368.68</v>
      </c>
      <c r="D121">
        <v>167.43</v>
      </c>
      <c r="E121">
        <v>291.35000000000002</v>
      </c>
      <c r="F121">
        <v>267.41000000000003</v>
      </c>
    </row>
    <row r="122" spans="1:6" x14ac:dyDescent="0.25">
      <c r="A122" t="s">
        <v>127</v>
      </c>
      <c r="B122">
        <v>273.16000000000003</v>
      </c>
      <c r="C122">
        <v>357.51</v>
      </c>
      <c r="D122">
        <v>169.22</v>
      </c>
      <c r="E122">
        <v>281.06</v>
      </c>
      <c r="F122">
        <v>258.70999999999998</v>
      </c>
    </row>
    <row r="123" spans="1:6" x14ac:dyDescent="0.25">
      <c r="A123" t="s">
        <v>128</v>
      </c>
      <c r="B123">
        <v>274</v>
      </c>
      <c r="C123">
        <v>355.33</v>
      </c>
      <c r="D123">
        <v>168.74</v>
      </c>
      <c r="E123">
        <v>280.14</v>
      </c>
      <c r="F123">
        <v>255.97</v>
      </c>
    </row>
    <row r="124" spans="1:6" x14ac:dyDescent="0.25">
      <c r="A124" t="s">
        <v>129</v>
      </c>
      <c r="B124">
        <v>280.57</v>
      </c>
      <c r="C124">
        <v>364.49</v>
      </c>
      <c r="D124">
        <v>163.26</v>
      </c>
      <c r="E124">
        <v>288.87</v>
      </c>
      <c r="F124">
        <v>264.89999999999998</v>
      </c>
    </row>
    <row r="125" spans="1:6" x14ac:dyDescent="0.25">
      <c r="A125" t="s">
        <v>130</v>
      </c>
      <c r="B125">
        <v>290.57</v>
      </c>
      <c r="C125">
        <v>369.54</v>
      </c>
      <c r="D125">
        <v>161.12</v>
      </c>
      <c r="E125">
        <v>292.60000000000002</v>
      </c>
      <c r="F125">
        <v>267.37</v>
      </c>
    </row>
    <row r="126" spans="1:6" x14ac:dyDescent="0.25">
      <c r="A126" t="s">
        <v>131</v>
      </c>
      <c r="B126">
        <v>290.08</v>
      </c>
      <c r="C126">
        <v>371.24</v>
      </c>
      <c r="D126">
        <v>163.21</v>
      </c>
      <c r="E126">
        <v>289.61</v>
      </c>
      <c r="F126">
        <v>269.08</v>
      </c>
    </row>
    <row r="127" spans="1:6" x14ac:dyDescent="0.25">
      <c r="A127" t="s">
        <v>132</v>
      </c>
      <c r="B127">
        <v>301.69</v>
      </c>
      <c r="C127">
        <v>381.45</v>
      </c>
      <c r="D127">
        <v>159.01</v>
      </c>
      <c r="E127">
        <v>287.14</v>
      </c>
      <c r="F127">
        <v>266.37</v>
      </c>
    </row>
    <row r="128" spans="1:6" x14ac:dyDescent="0.25">
      <c r="A128" t="s">
        <v>133</v>
      </c>
      <c r="B128">
        <v>300.63</v>
      </c>
      <c r="C128">
        <v>380.33</v>
      </c>
      <c r="D128">
        <v>157.57</v>
      </c>
      <c r="E128">
        <v>283.82</v>
      </c>
      <c r="F128">
        <v>272.35000000000002</v>
      </c>
    </row>
    <row r="129" spans="1:6" x14ac:dyDescent="0.25">
      <c r="A129" t="s">
        <v>134</v>
      </c>
      <c r="B129">
        <v>306.75</v>
      </c>
      <c r="C129">
        <v>387.45</v>
      </c>
      <c r="D129">
        <v>156.08000000000001</v>
      </c>
      <c r="E129">
        <v>285.22000000000003</v>
      </c>
      <c r="F129">
        <v>277.14</v>
      </c>
    </row>
    <row r="130" spans="1:6" x14ac:dyDescent="0.25">
      <c r="A130" t="s">
        <v>135</v>
      </c>
      <c r="B130">
        <v>307.31</v>
      </c>
      <c r="C130">
        <v>390.21</v>
      </c>
      <c r="D130">
        <v>155.52000000000001</v>
      </c>
      <c r="E130">
        <v>284.99</v>
      </c>
      <c r="F130">
        <v>280.99</v>
      </c>
    </row>
    <row r="131" spans="1:6" x14ac:dyDescent="0.25">
      <c r="A131" t="s">
        <v>136</v>
      </c>
      <c r="B131">
        <v>310.52999999999997</v>
      </c>
      <c r="C131">
        <v>397.8</v>
      </c>
      <c r="D131">
        <v>156.72</v>
      </c>
      <c r="E131">
        <v>284.14999999999998</v>
      </c>
      <c r="F131">
        <v>284.19</v>
      </c>
    </row>
    <row r="132" spans="1:6" x14ac:dyDescent="0.25">
      <c r="A132" t="s">
        <v>137</v>
      </c>
      <c r="B132">
        <v>305.18</v>
      </c>
      <c r="C132">
        <v>398.34</v>
      </c>
      <c r="D132">
        <v>155.16999999999999</v>
      </c>
      <c r="E132">
        <v>283.43</v>
      </c>
      <c r="F132">
        <v>282.13</v>
      </c>
    </row>
    <row r="133" spans="1:6" x14ac:dyDescent="0.25">
      <c r="A133" t="s">
        <v>138</v>
      </c>
      <c r="B133">
        <v>301.91000000000003</v>
      </c>
      <c r="C133">
        <v>393.95</v>
      </c>
      <c r="D133">
        <v>154.07</v>
      </c>
      <c r="E133">
        <v>280.73</v>
      </c>
      <c r="F133">
        <v>278.77</v>
      </c>
    </row>
    <row r="134" spans="1:6" x14ac:dyDescent="0.25">
      <c r="A134" t="s">
        <v>139</v>
      </c>
      <c r="B134">
        <v>303.17</v>
      </c>
      <c r="C134">
        <v>400.24</v>
      </c>
      <c r="D134">
        <v>151.51</v>
      </c>
      <c r="E134">
        <v>280.19</v>
      </c>
      <c r="F134">
        <v>273.79000000000002</v>
      </c>
    </row>
    <row r="135" spans="1:6" x14ac:dyDescent="0.25">
      <c r="A135" t="s">
        <v>140</v>
      </c>
      <c r="B135">
        <v>308.32</v>
      </c>
      <c r="C135">
        <v>403.25</v>
      </c>
      <c r="D135">
        <v>149.59</v>
      </c>
      <c r="E135">
        <v>284.77</v>
      </c>
      <c r="F135">
        <v>281.89</v>
      </c>
    </row>
    <row r="136" spans="1:6" x14ac:dyDescent="0.25">
      <c r="A136" t="s">
        <v>141</v>
      </c>
      <c r="B136">
        <v>306.66000000000003</v>
      </c>
      <c r="C136">
        <v>404.12</v>
      </c>
      <c r="D136">
        <v>146.18</v>
      </c>
      <c r="E136">
        <v>285.97000000000003</v>
      </c>
      <c r="F136">
        <v>279.02</v>
      </c>
    </row>
    <row r="137" spans="1:6" x14ac:dyDescent="0.25">
      <c r="A137" t="s">
        <v>142</v>
      </c>
      <c r="B137">
        <v>305.98</v>
      </c>
      <c r="C137">
        <v>407.76</v>
      </c>
      <c r="D137">
        <v>148.46</v>
      </c>
      <c r="E137">
        <v>287.14999999999998</v>
      </c>
      <c r="F137">
        <v>281.82</v>
      </c>
    </row>
    <row r="138" spans="1:6" x14ac:dyDescent="0.25">
      <c r="A138" t="s">
        <v>143</v>
      </c>
      <c r="B138">
        <v>297.94</v>
      </c>
      <c r="C138">
        <v>407.31</v>
      </c>
      <c r="D138">
        <v>149.22</v>
      </c>
      <c r="E138">
        <v>286.70999999999998</v>
      </c>
      <c r="F138">
        <v>280.93</v>
      </c>
    </row>
    <row r="139" spans="1:6" x14ac:dyDescent="0.25">
      <c r="A139" t="s">
        <v>144</v>
      </c>
      <c r="B139">
        <v>300.3</v>
      </c>
      <c r="C139">
        <v>409.02</v>
      </c>
      <c r="D139">
        <v>148.78</v>
      </c>
      <c r="E139">
        <v>290.75</v>
      </c>
      <c r="F139">
        <v>283.17</v>
      </c>
    </row>
    <row r="140" spans="1:6" x14ac:dyDescent="0.25">
      <c r="A140" t="s">
        <v>145</v>
      </c>
      <c r="B140">
        <v>302.54000000000002</v>
      </c>
      <c r="C140">
        <v>403.56</v>
      </c>
      <c r="D140">
        <v>147.85</v>
      </c>
      <c r="E140">
        <v>296.52999999999997</v>
      </c>
      <c r="F140">
        <v>286.3</v>
      </c>
    </row>
    <row r="141" spans="1:6" x14ac:dyDescent="0.25">
      <c r="A141" t="s">
        <v>146</v>
      </c>
      <c r="B141">
        <v>302.99</v>
      </c>
      <c r="C141">
        <v>402.3</v>
      </c>
      <c r="D141">
        <v>149.84</v>
      </c>
      <c r="E141">
        <v>297.39</v>
      </c>
      <c r="F141">
        <v>283.60000000000002</v>
      </c>
    </row>
    <row r="142" spans="1:6" x14ac:dyDescent="0.25">
      <c r="A142" t="s">
        <v>147</v>
      </c>
      <c r="B142">
        <v>305.92</v>
      </c>
      <c r="C142">
        <v>396.94</v>
      </c>
      <c r="D142">
        <v>152.19</v>
      </c>
      <c r="E142">
        <v>294.72000000000003</v>
      </c>
      <c r="F142">
        <v>289.20999999999998</v>
      </c>
    </row>
    <row r="143" spans="1:6" x14ac:dyDescent="0.25">
      <c r="A143" t="s">
        <v>148</v>
      </c>
      <c r="B143">
        <v>311.14999999999998</v>
      </c>
      <c r="C143">
        <v>391.15</v>
      </c>
      <c r="D143">
        <v>150.5</v>
      </c>
      <c r="E143">
        <v>297.43</v>
      </c>
      <c r="F143">
        <v>287.58</v>
      </c>
    </row>
    <row r="144" spans="1:6" x14ac:dyDescent="0.25">
      <c r="A144" t="s">
        <v>149</v>
      </c>
      <c r="B144">
        <v>306.77999999999997</v>
      </c>
      <c r="C144">
        <v>400.1</v>
      </c>
      <c r="D144">
        <v>146.59</v>
      </c>
      <c r="E144">
        <v>303.20999999999998</v>
      </c>
      <c r="F144">
        <v>281.10000000000002</v>
      </c>
    </row>
    <row r="145" spans="1:6" x14ac:dyDescent="0.25">
      <c r="A145" t="s">
        <v>150</v>
      </c>
      <c r="B145">
        <v>312.29000000000002</v>
      </c>
      <c r="C145">
        <v>398.98</v>
      </c>
      <c r="D145">
        <v>147.1</v>
      </c>
      <c r="E145">
        <v>300.39999999999998</v>
      </c>
      <c r="F145">
        <v>278.69</v>
      </c>
    </row>
    <row r="146" spans="1:6" x14ac:dyDescent="0.25">
      <c r="A146" t="s">
        <v>151</v>
      </c>
      <c r="B146">
        <v>310.3</v>
      </c>
      <c r="C146">
        <v>387.43</v>
      </c>
      <c r="D146">
        <v>147.30000000000001</v>
      </c>
      <c r="E146">
        <v>294.45999999999998</v>
      </c>
      <c r="F146">
        <v>268.64</v>
      </c>
    </row>
    <row r="147" spans="1:6" x14ac:dyDescent="0.25">
      <c r="A147" t="s">
        <v>152</v>
      </c>
      <c r="B147">
        <v>310.89</v>
      </c>
      <c r="C147">
        <v>382.92</v>
      </c>
      <c r="D147">
        <v>148.78</v>
      </c>
      <c r="E147">
        <v>294.83</v>
      </c>
      <c r="F147">
        <v>276.87</v>
      </c>
    </row>
    <row r="148" spans="1:6" x14ac:dyDescent="0.25">
      <c r="A148" t="s">
        <v>153</v>
      </c>
      <c r="B148">
        <v>314.37</v>
      </c>
      <c r="C148">
        <v>395.63</v>
      </c>
      <c r="D148">
        <v>145.35</v>
      </c>
      <c r="E148">
        <v>307.82</v>
      </c>
      <c r="F148">
        <v>284.38</v>
      </c>
    </row>
    <row r="149" spans="1:6" x14ac:dyDescent="0.25">
      <c r="A149" t="s">
        <v>154</v>
      </c>
      <c r="B149">
        <v>302.26</v>
      </c>
      <c r="C149">
        <v>396.85</v>
      </c>
      <c r="D149">
        <v>148.99</v>
      </c>
      <c r="E149">
        <v>305.11</v>
      </c>
      <c r="F149">
        <v>284.31</v>
      </c>
    </row>
    <row r="150" spans="1:6" x14ac:dyDescent="0.25">
      <c r="A150" t="s">
        <v>155</v>
      </c>
      <c r="B150">
        <v>302.74</v>
      </c>
      <c r="C150">
        <v>397.08</v>
      </c>
      <c r="D150">
        <v>148.69999999999999</v>
      </c>
      <c r="E150">
        <v>305.83</v>
      </c>
      <c r="F150">
        <v>282.61</v>
      </c>
    </row>
    <row r="151" spans="1:6" x14ac:dyDescent="0.25">
      <c r="A151" t="s">
        <v>156</v>
      </c>
      <c r="B151">
        <v>301.43</v>
      </c>
      <c r="C151">
        <v>394.36</v>
      </c>
      <c r="D151">
        <v>144.27000000000001</v>
      </c>
      <c r="E151">
        <v>304.2</v>
      </c>
      <c r="F151">
        <v>283.49</v>
      </c>
    </row>
    <row r="152" spans="1:6" x14ac:dyDescent="0.25">
      <c r="A152" t="s">
        <v>157</v>
      </c>
      <c r="B152">
        <v>305.13</v>
      </c>
      <c r="C152">
        <v>398.79</v>
      </c>
      <c r="D152">
        <v>146.5</v>
      </c>
      <c r="E152">
        <v>299.66000000000003</v>
      </c>
      <c r="F152">
        <v>287.51</v>
      </c>
    </row>
    <row r="153" spans="1:6" x14ac:dyDescent="0.25">
      <c r="A153" t="s">
        <v>158</v>
      </c>
      <c r="B153">
        <v>308.39999999999998</v>
      </c>
      <c r="C153">
        <v>399.31</v>
      </c>
      <c r="D153">
        <v>147.96</v>
      </c>
      <c r="E153">
        <v>299.75</v>
      </c>
      <c r="F153">
        <v>278.86</v>
      </c>
    </row>
    <row r="154" spans="1:6" x14ac:dyDescent="0.25">
      <c r="A154" t="s">
        <v>159</v>
      </c>
      <c r="B154">
        <v>310.36</v>
      </c>
      <c r="C154">
        <v>401.82</v>
      </c>
      <c r="D154">
        <v>152.5</v>
      </c>
      <c r="E154">
        <v>307.85000000000002</v>
      </c>
      <c r="F154">
        <v>273.5</v>
      </c>
    </row>
    <row r="155" spans="1:6" x14ac:dyDescent="0.25">
      <c r="A155" t="s">
        <v>160</v>
      </c>
      <c r="B155">
        <v>317.95999999999998</v>
      </c>
      <c r="C155">
        <v>410.66</v>
      </c>
      <c r="D155">
        <v>148.61000000000001</v>
      </c>
      <c r="E155">
        <v>315.24</v>
      </c>
      <c r="F155">
        <v>267.92</v>
      </c>
    </row>
    <row r="156" spans="1:6" x14ac:dyDescent="0.25">
      <c r="A156" t="s">
        <v>161</v>
      </c>
      <c r="B156">
        <v>323.69</v>
      </c>
      <c r="C156">
        <v>410.99</v>
      </c>
      <c r="D156">
        <v>148.24</v>
      </c>
      <c r="E156">
        <v>319.02</v>
      </c>
      <c r="F156">
        <v>270.35000000000002</v>
      </c>
    </row>
    <row r="157" spans="1:6" x14ac:dyDescent="0.25">
      <c r="A157" t="s">
        <v>162</v>
      </c>
      <c r="B157">
        <v>322.23</v>
      </c>
      <c r="C157">
        <v>398.61</v>
      </c>
      <c r="D157">
        <v>146.12</v>
      </c>
      <c r="E157">
        <v>319.32</v>
      </c>
      <c r="F157">
        <v>271.29000000000002</v>
      </c>
    </row>
    <row r="158" spans="1:6" x14ac:dyDescent="0.25">
      <c r="A158" t="s">
        <v>163</v>
      </c>
      <c r="B158">
        <v>330.61</v>
      </c>
      <c r="C158">
        <v>391.19</v>
      </c>
      <c r="D158">
        <v>143.21</v>
      </c>
      <c r="E158">
        <v>307.2</v>
      </c>
      <c r="F158">
        <v>263.33999999999997</v>
      </c>
    </row>
    <row r="159" spans="1:6" x14ac:dyDescent="0.25">
      <c r="A159" t="s">
        <v>164</v>
      </c>
      <c r="B159">
        <v>332.39</v>
      </c>
      <c r="C159">
        <v>411.58</v>
      </c>
      <c r="D159">
        <v>144.69</v>
      </c>
      <c r="E159">
        <v>314.24</v>
      </c>
      <c r="F159">
        <v>270.57</v>
      </c>
    </row>
    <row r="160" spans="1:6" x14ac:dyDescent="0.25">
      <c r="A160" t="s">
        <v>165</v>
      </c>
      <c r="B160">
        <v>339.05</v>
      </c>
      <c r="C160">
        <v>408.62</v>
      </c>
      <c r="D160">
        <v>140.9</v>
      </c>
      <c r="E160">
        <v>311.83999999999997</v>
      </c>
      <c r="F160">
        <v>278.67</v>
      </c>
    </row>
    <row r="161" spans="1:6" x14ac:dyDescent="0.25">
      <c r="A161" t="s">
        <v>166</v>
      </c>
      <c r="B161">
        <v>343.02</v>
      </c>
      <c r="C161">
        <v>420.7</v>
      </c>
      <c r="D161">
        <v>135.68</v>
      </c>
      <c r="E161">
        <v>305.2</v>
      </c>
      <c r="F161">
        <v>280.05</v>
      </c>
    </row>
    <row r="162" spans="1:6" x14ac:dyDescent="0.25">
      <c r="A162" t="s">
        <v>167</v>
      </c>
      <c r="B162">
        <v>337.34</v>
      </c>
      <c r="C162">
        <v>427.58</v>
      </c>
      <c r="D162">
        <v>138.62</v>
      </c>
      <c r="E162">
        <v>302.97000000000003</v>
      </c>
      <c r="F162">
        <v>281.37</v>
      </c>
    </row>
    <row r="163" spans="1:6" x14ac:dyDescent="0.25">
      <c r="A163" t="s">
        <v>168</v>
      </c>
      <c r="B163">
        <v>337.59</v>
      </c>
      <c r="C163">
        <v>430.77</v>
      </c>
      <c r="D163">
        <v>137.75</v>
      </c>
      <c r="E163">
        <v>303.49</v>
      </c>
      <c r="F163">
        <v>286.62</v>
      </c>
    </row>
    <row r="164" spans="1:6" x14ac:dyDescent="0.25">
      <c r="A164" t="s">
        <v>169</v>
      </c>
      <c r="B164">
        <v>335.36</v>
      </c>
      <c r="C164">
        <v>478.59</v>
      </c>
      <c r="D164">
        <v>134.87</v>
      </c>
      <c r="E164">
        <v>297.89999999999998</v>
      </c>
      <c r="F164">
        <v>288.32</v>
      </c>
    </row>
    <row r="165" spans="1:6" x14ac:dyDescent="0.25">
      <c r="A165" t="s">
        <v>170</v>
      </c>
      <c r="B165">
        <v>333.9</v>
      </c>
      <c r="C165">
        <v>477.55</v>
      </c>
      <c r="D165">
        <v>134.13999999999999</v>
      </c>
      <c r="E165">
        <v>297.44</v>
      </c>
      <c r="F165">
        <v>277.22000000000003</v>
      </c>
    </row>
    <row r="166" spans="1:6" x14ac:dyDescent="0.25">
      <c r="A166" t="s">
        <v>171</v>
      </c>
      <c r="B166">
        <v>332.61</v>
      </c>
      <c r="C166">
        <v>467.32</v>
      </c>
      <c r="D166">
        <v>132.19</v>
      </c>
      <c r="E166">
        <v>298.16000000000003</v>
      </c>
      <c r="F166">
        <v>344.82</v>
      </c>
    </row>
    <row r="167" spans="1:6" x14ac:dyDescent="0.25">
      <c r="A167" t="s">
        <v>172</v>
      </c>
      <c r="B167">
        <v>327.29000000000002</v>
      </c>
      <c r="C167">
        <v>463.01</v>
      </c>
      <c r="D167">
        <v>132.32</v>
      </c>
      <c r="E167">
        <v>294.88</v>
      </c>
      <c r="F167">
        <v>349.35</v>
      </c>
    </row>
    <row r="168" spans="1:6" x14ac:dyDescent="0.25">
      <c r="A168" t="s">
        <v>173</v>
      </c>
      <c r="B168">
        <v>329.9</v>
      </c>
      <c r="C168">
        <v>448.3</v>
      </c>
      <c r="D168">
        <v>131.01</v>
      </c>
      <c r="E168">
        <v>300.73</v>
      </c>
      <c r="F168">
        <v>347.6</v>
      </c>
    </row>
    <row r="169" spans="1:6" x14ac:dyDescent="0.25">
      <c r="A169" t="s">
        <v>174</v>
      </c>
      <c r="B169">
        <v>327.74</v>
      </c>
      <c r="C169">
        <v>441.31</v>
      </c>
      <c r="D169">
        <v>130.97999999999999</v>
      </c>
      <c r="E169">
        <v>299.14999999999998</v>
      </c>
      <c r="F169">
        <v>341.01</v>
      </c>
    </row>
    <row r="170" spans="1:6" x14ac:dyDescent="0.25">
      <c r="A170" t="s">
        <v>175</v>
      </c>
      <c r="B170">
        <v>321.37</v>
      </c>
      <c r="C170">
        <v>451.65</v>
      </c>
      <c r="D170">
        <v>127.89</v>
      </c>
      <c r="E170">
        <v>299.85000000000002</v>
      </c>
      <c r="F170">
        <v>331.87</v>
      </c>
    </row>
    <row r="171" spans="1:6" x14ac:dyDescent="0.25">
      <c r="A171" t="s">
        <v>176</v>
      </c>
      <c r="B171">
        <v>329.36</v>
      </c>
      <c r="C171">
        <v>456.96</v>
      </c>
      <c r="D171">
        <v>127.34</v>
      </c>
      <c r="E171">
        <v>309.48</v>
      </c>
      <c r="F171">
        <v>324.60000000000002</v>
      </c>
    </row>
    <row r="172" spans="1:6" x14ac:dyDescent="0.25">
      <c r="A172" t="s">
        <v>177</v>
      </c>
      <c r="B172">
        <v>332.13</v>
      </c>
      <c r="C172">
        <v>453.78</v>
      </c>
      <c r="D172">
        <v>126.59</v>
      </c>
      <c r="E172">
        <v>306.31</v>
      </c>
      <c r="F172">
        <v>332.39</v>
      </c>
    </row>
    <row r="173" spans="1:6" x14ac:dyDescent="0.25">
      <c r="A173" t="s">
        <v>178</v>
      </c>
      <c r="B173">
        <v>335.19</v>
      </c>
      <c r="C173">
        <v>456.48</v>
      </c>
      <c r="D173">
        <v>127.64</v>
      </c>
      <c r="E173">
        <v>304.93</v>
      </c>
      <c r="F173">
        <v>328.47</v>
      </c>
    </row>
    <row r="174" spans="1:6" x14ac:dyDescent="0.25">
      <c r="A174" t="s">
        <v>179</v>
      </c>
      <c r="B174">
        <v>335.32</v>
      </c>
      <c r="C174">
        <v>467.7</v>
      </c>
      <c r="D174">
        <v>124.05</v>
      </c>
      <c r="E174">
        <v>307.93</v>
      </c>
      <c r="F174">
        <v>327.45999999999998</v>
      </c>
    </row>
    <row r="175" spans="1:6" x14ac:dyDescent="0.25">
      <c r="A175" t="s">
        <v>180</v>
      </c>
      <c r="B175">
        <v>331.22</v>
      </c>
      <c r="C175">
        <v>474.17</v>
      </c>
      <c r="D175">
        <v>121.59</v>
      </c>
      <c r="E175">
        <v>321.39</v>
      </c>
      <c r="F175">
        <v>333.91</v>
      </c>
    </row>
    <row r="176" spans="1:6" x14ac:dyDescent="0.25">
      <c r="A176" t="s">
        <v>181</v>
      </c>
      <c r="B176">
        <v>327.93</v>
      </c>
      <c r="C176">
        <v>476.26</v>
      </c>
      <c r="D176">
        <v>122.16</v>
      </c>
      <c r="E176">
        <v>326.05</v>
      </c>
      <c r="F176">
        <v>337.31</v>
      </c>
    </row>
    <row r="177" spans="1:6" x14ac:dyDescent="0.25">
      <c r="A177" t="s">
        <v>182</v>
      </c>
      <c r="B177">
        <v>324.81</v>
      </c>
      <c r="C177">
        <v>475.1</v>
      </c>
      <c r="D177">
        <v>120.49</v>
      </c>
      <c r="E177">
        <v>326.64</v>
      </c>
      <c r="F177">
        <v>340.13</v>
      </c>
    </row>
    <row r="178" spans="1:6" x14ac:dyDescent="0.25">
      <c r="A178" t="s">
        <v>183</v>
      </c>
      <c r="B178">
        <v>321.35000000000002</v>
      </c>
      <c r="C178">
        <v>480.42</v>
      </c>
      <c r="D178">
        <v>116.16</v>
      </c>
      <c r="E178">
        <v>323.87</v>
      </c>
      <c r="F178">
        <v>335.08</v>
      </c>
    </row>
    <row r="179" spans="1:6" x14ac:dyDescent="0.25">
      <c r="A179" t="s">
        <v>184</v>
      </c>
      <c r="B179">
        <v>313.73</v>
      </c>
      <c r="C179">
        <v>475.49</v>
      </c>
      <c r="D179">
        <v>118.67</v>
      </c>
      <c r="E179">
        <v>331.41</v>
      </c>
      <c r="F179">
        <v>342.2</v>
      </c>
    </row>
    <row r="180" spans="1:6" x14ac:dyDescent="0.25">
      <c r="A180" t="s">
        <v>185</v>
      </c>
      <c r="B180">
        <v>315.93</v>
      </c>
      <c r="C180">
        <v>469.87</v>
      </c>
      <c r="D180">
        <v>122.89</v>
      </c>
      <c r="E180">
        <v>329.36</v>
      </c>
      <c r="F180">
        <v>335.39</v>
      </c>
    </row>
    <row r="181" spans="1:6" x14ac:dyDescent="0.25">
      <c r="A181" t="s">
        <v>186</v>
      </c>
      <c r="B181">
        <v>314.54000000000002</v>
      </c>
      <c r="C181">
        <v>469.96</v>
      </c>
      <c r="D181">
        <v>120.24</v>
      </c>
      <c r="E181">
        <v>320.92</v>
      </c>
      <c r="F181">
        <v>329.88</v>
      </c>
    </row>
    <row r="182" spans="1:6" x14ac:dyDescent="0.25">
      <c r="A182" t="s">
        <v>187</v>
      </c>
      <c r="B182">
        <v>312.39</v>
      </c>
      <c r="C182">
        <v>480.57</v>
      </c>
      <c r="D182">
        <v>117.97</v>
      </c>
      <c r="E182">
        <v>317.70999999999998</v>
      </c>
      <c r="F182">
        <v>323.70999999999998</v>
      </c>
    </row>
    <row r="183" spans="1:6" x14ac:dyDescent="0.25">
      <c r="A183" t="s">
        <v>188</v>
      </c>
      <c r="B183">
        <v>313.24</v>
      </c>
      <c r="C183">
        <v>484.41</v>
      </c>
      <c r="D183">
        <v>118.61</v>
      </c>
      <c r="E183">
        <v>318.89</v>
      </c>
      <c r="F183">
        <v>325.72000000000003</v>
      </c>
    </row>
    <row r="184" spans="1:6" x14ac:dyDescent="0.25">
      <c r="A184" t="s">
        <v>189</v>
      </c>
      <c r="B184">
        <v>312.95</v>
      </c>
      <c r="C184">
        <v>484.03</v>
      </c>
      <c r="D184">
        <v>118.16</v>
      </c>
      <c r="E184">
        <v>319.22000000000003</v>
      </c>
      <c r="F184">
        <v>322.56</v>
      </c>
    </row>
    <row r="185" spans="1:6" x14ac:dyDescent="0.25">
      <c r="A185" t="s">
        <v>190</v>
      </c>
      <c r="B185">
        <v>312.89999999999998</v>
      </c>
      <c r="C185">
        <v>484.64</v>
      </c>
      <c r="D185">
        <v>116.77</v>
      </c>
      <c r="E185">
        <v>323.32</v>
      </c>
      <c r="F185">
        <v>325.39999999999998</v>
      </c>
    </row>
    <row r="186" spans="1:6" x14ac:dyDescent="0.25">
      <c r="A186" t="s">
        <v>191</v>
      </c>
      <c r="B186">
        <v>313.48</v>
      </c>
      <c r="C186">
        <v>484.94</v>
      </c>
      <c r="D186">
        <v>116.88</v>
      </c>
      <c r="E186">
        <v>324.56</v>
      </c>
      <c r="F186">
        <v>321.23</v>
      </c>
    </row>
    <row r="187" spans="1:6" x14ac:dyDescent="0.25">
      <c r="A187" t="s">
        <v>192</v>
      </c>
      <c r="B187">
        <v>313.74</v>
      </c>
      <c r="C187">
        <v>483.78</v>
      </c>
      <c r="D187">
        <v>117.07</v>
      </c>
      <c r="E187">
        <v>321.37</v>
      </c>
      <c r="F187">
        <v>318.5</v>
      </c>
    </row>
    <row r="188" spans="1:6" x14ac:dyDescent="0.25">
      <c r="A188" t="s">
        <v>193</v>
      </c>
      <c r="B188">
        <v>309.18</v>
      </c>
      <c r="C188">
        <v>481.86</v>
      </c>
      <c r="D188">
        <v>115.83</v>
      </c>
      <c r="E188">
        <v>318.57</v>
      </c>
      <c r="F188">
        <v>318.86</v>
      </c>
    </row>
    <row r="189" spans="1:6" x14ac:dyDescent="0.25">
      <c r="A189" t="s">
        <v>194</v>
      </c>
      <c r="B189">
        <v>306.56</v>
      </c>
      <c r="C189">
        <v>482.86</v>
      </c>
      <c r="D189">
        <v>114.4</v>
      </c>
      <c r="E189">
        <v>312.77</v>
      </c>
      <c r="F189">
        <v>321.07</v>
      </c>
    </row>
    <row r="190" spans="1:6" x14ac:dyDescent="0.25">
      <c r="A190" t="s">
        <v>195</v>
      </c>
      <c r="B190">
        <v>301.87</v>
      </c>
      <c r="C190">
        <v>480.93</v>
      </c>
      <c r="D190">
        <v>114.25</v>
      </c>
      <c r="E190">
        <v>308.62</v>
      </c>
      <c r="F190">
        <v>321.77999999999997</v>
      </c>
    </row>
    <row r="191" spans="1:6" x14ac:dyDescent="0.25">
      <c r="A191" t="s">
        <v>196</v>
      </c>
      <c r="B191">
        <v>296.14</v>
      </c>
      <c r="C191">
        <v>473.12</v>
      </c>
      <c r="D191">
        <v>115.1</v>
      </c>
      <c r="E191">
        <v>310.57</v>
      </c>
      <c r="F191">
        <v>325.2</v>
      </c>
    </row>
    <row r="192" spans="1:6" x14ac:dyDescent="0.25">
      <c r="A192" t="s">
        <v>197</v>
      </c>
      <c r="B192">
        <v>305.97000000000003</v>
      </c>
      <c r="C192">
        <v>473.39</v>
      </c>
      <c r="D192">
        <v>112.42</v>
      </c>
      <c r="E192">
        <v>311.13</v>
      </c>
      <c r="F192">
        <v>327.72</v>
      </c>
    </row>
    <row r="193" spans="1:6" x14ac:dyDescent="0.25">
      <c r="A193" t="s">
        <v>198</v>
      </c>
      <c r="B193">
        <v>307.62</v>
      </c>
      <c r="C193">
        <v>471.83</v>
      </c>
      <c r="D193">
        <v>115.44</v>
      </c>
      <c r="E193">
        <v>315.54000000000002</v>
      </c>
      <c r="F193">
        <v>334.49</v>
      </c>
    </row>
    <row r="194" spans="1:6" x14ac:dyDescent="0.25">
      <c r="A194" t="s">
        <v>199</v>
      </c>
      <c r="B194">
        <v>308.69</v>
      </c>
      <c r="C194">
        <v>475.51</v>
      </c>
      <c r="D194">
        <v>116.48</v>
      </c>
      <c r="E194">
        <v>314.06</v>
      </c>
      <c r="F194">
        <v>335.21</v>
      </c>
    </row>
    <row r="195" spans="1:6" x14ac:dyDescent="0.25">
      <c r="A195" t="s">
        <v>200</v>
      </c>
      <c r="B195">
        <v>311.82</v>
      </c>
      <c r="C195">
        <v>480.42</v>
      </c>
      <c r="D195">
        <v>117.19</v>
      </c>
      <c r="E195">
        <v>312.94</v>
      </c>
      <c r="F195">
        <v>330.2</v>
      </c>
    </row>
    <row r="196" spans="1:6" x14ac:dyDescent="0.25">
      <c r="A196" t="s">
        <v>201</v>
      </c>
      <c r="B196">
        <v>319.58999999999997</v>
      </c>
      <c r="C196">
        <v>475.54</v>
      </c>
      <c r="D196">
        <v>117.19</v>
      </c>
      <c r="E196">
        <v>305.77</v>
      </c>
      <c r="F196">
        <v>322</v>
      </c>
    </row>
    <row r="197" spans="1:6" x14ac:dyDescent="0.25">
      <c r="A197" t="s">
        <v>202</v>
      </c>
      <c r="B197">
        <v>316.45999999999998</v>
      </c>
      <c r="C197">
        <v>488.92</v>
      </c>
      <c r="D197">
        <v>115.92</v>
      </c>
      <c r="E197">
        <v>296.3</v>
      </c>
      <c r="F197">
        <v>317.33</v>
      </c>
    </row>
    <row r="198" spans="1:6" x14ac:dyDescent="0.25">
      <c r="A198" t="s">
        <v>203</v>
      </c>
      <c r="B198">
        <v>313.11</v>
      </c>
      <c r="C198">
        <v>487.92</v>
      </c>
      <c r="D198">
        <v>113.7</v>
      </c>
      <c r="E198">
        <v>310.8</v>
      </c>
      <c r="F198">
        <v>317.35000000000002</v>
      </c>
    </row>
    <row r="199" spans="1:6" x14ac:dyDescent="0.25">
      <c r="A199" t="s">
        <v>204</v>
      </c>
      <c r="B199">
        <v>320.44</v>
      </c>
      <c r="C199">
        <v>480.11</v>
      </c>
      <c r="D199">
        <v>114.25</v>
      </c>
      <c r="E199">
        <v>310.63</v>
      </c>
      <c r="F199">
        <v>322.33</v>
      </c>
    </row>
    <row r="200" spans="1:6" x14ac:dyDescent="0.25">
      <c r="A200" t="s">
        <v>205</v>
      </c>
      <c r="B200">
        <v>316.8</v>
      </c>
      <c r="C200">
        <v>477.81</v>
      </c>
      <c r="D200">
        <v>114.84</v>
      </c>
      <c r="E200">
        <v>311.67</v>
      </c>
      <c r="F200">
        <v>324.83999999999997</v>
      </c>
    </row>
    <row r="201" spans="1:6" x14ac:dyDescent="0.25">
      <c r="A201" t="s">
        <v>206</v>
      </c>
      <c r="B201">
        <v>318.8</v>
      </c>
      <c r="C201">
        <v>474.72</v>
      </c>
      <c r="D201">
        <v>115.48</v>
      </c>
      <c r="E201">
        <v>307.76</v>
      </c>
      <c r="F201">
        <v>330.9</v>
      </c>
    </row>
    <row r="202" spans="1:6" x14ac:dyDescent="0.25">
      <c r="A202" t="s">
        <v>207</v>
      </c>
      <c r="B202">
        <v>314.99</v>
      </c>
      <c r="C202">
        <v>486.91</v>
      </c>
      <c r="D202">
        <v>113.11</v>
      </c>
      <c r="E202">
        <v>303.57</v>
      </c>
      <c r="F202">
        <v>316.12</v>
      </c>
    </row>
    <row r="203" spans="1:6" x14ac:dyDescent="0.25">
      <c r="A203" t="s">
        <v>208</v>
      </c>
      <c r="B203">
        <v>314.07</v>
      </c>
      <c r="C203">
        <v>483.67</v>
      </c>
      <c r="D203">
        <v>114.34</v>
      </c>
      <c r="E203">
        <v>304.58999999999997</v>
      </c>
      <c r="F203">
        <v>314.83</v>
      </c>
    </row>
    <row r="204" spans="1:6" x14ac:dyDescent="0.25">
      <c r="A204" t="s">
        <v>209</v>
      </c>
      <c r="B204">
        <v>319.35000000000002</v>
      </c>
      <c r="C204">
        <v>488.91</v>
      </c>
      <c r="D204">
        <v>113.64</v>
      </c>
      <c r="E204">
        <v>308.7</v>
      </c>
      <c r="F204">
        <v>321.22000000000003</v>
      </c>
    </row>
    <row r="205" spans="1:6" x14ac:dyDescent="0.25">
      <c r="A205" t="s">
        <v>210</v>
      </c>
      <c r="B205">
        <v>319.12</v>
      </c>
      <c r="C205">
        <v>482.44</v>
      </c>
      <c r="D205">
        <v>112.51</v>
      </c>
      <c r="E205">
        <v>303.33</v>
      </c>
      <c r="F205">
        <v>321.16000000000003</v>
      </c>
    </row>
    <row r="206" spans="1:6" x14ac:dyDescent="0.25">
      <c r="A206" t="s">
        <v>211</v>
      </c>
      <c r="B206">
        <v>322.60000000000002</v>
      </c>
      <c r="C206">
        <v>473.98</v>
      </c>
      <c r="D206">
        <v>112.26</v>
      </c>
      <c r="E206">
        <v>298.76</v>
      </c>
      <c r="F206">
        <v>317.82</v>
      </c>
    </row>
    <row r="207" spans="1:6" x14ac:dyDescent="0.25">
      <c r="A207" t="s">
        <v>212</v>
      </c>
      <c r="B207">
        <v>317.75</v>
      </c>
      <c r="C207">
        <v>471.01</v>
      </c>
      <c r="D207">
        <v>113.69</v>
      </c>
      <c r="E207">
        <v>293.83</v>
      </c>
      <c r="F207">
        <v>310.77</v>
      </c>
    </row>
    <row r="208" spans="1:6" x14ac:dyDescent="0.25">
      <c r="A208" t="s">
        <v>213</v>
      </c>
      <c r="B208">
        <v>298.88</v>
      </c>
      <c r="C208">
        <v>469.14</v>
      </c>
      <c r="D208">
        <v>114.78</v>
      </c>
      <c r="E208">
        <v>293.85000000000002</v>
      </c>
      <c r="F208">
        <v>311.67</v>
      </c>
    </row>
    <row r="209" spans="1:6" x14ac:dyDescent="0.25">
      <c r="A209" t="s">
        <v>214</v>
      </c>
      <c r="B209">
        <v>288.7</v>
      </c>
      <c r="C209">
        <v>475.41</v>
      </c>
      <c r="D209">
        <v>114.72</v>
      </c>
      <c r="E209">
        <v>294.2</v>
      </c>
      <c r="F209">
        <v>303.45999999999998</v>
      </c>
    </row>
    <row r="210" spans="1:6" x14ac:dyDescent="0.25">
      <c r="A210" t="s">
        <v>215</v>
      </c>
      <c r="B210">
        <v>292.05</v>
      </c>
      <c r="C210">
        <v>483.14</v>
      </c>
      <c r="D210">
        <v>115.04</v>
      </c>
      <c r="E210">
        <v>299.02</v>
      </c>
      <c r="F210">
        <v>301.07</v>
      </c>
    </row>
    <row r="211" spans="1:6" x14ac:dyDescent="0.25">
      <c r="A211" t="s">
        <v>216</v>
      </c>
      <c r="B211">
        <v>283.54000000000002</v>
      </c>
      <c r="C211">
        <v>489.76</v>
      </c>
      <c r="D211">
        <v>116.69</v>
      </c>
      <c r="E211">
        <v>295.22000000000003</v>
      </c>
      <c r="F211">
        <v>305.45</v>
      </c>
    </row>
    <row r="212" spans="1:6" x14ac:dyDescent="0.25">
      <c r="A212" t="s">
        <v>217</v>
      </c>
      <c r="B212">
        <v>284.27999999999997</v>
      </c>
      <c r="C212">
        <v>503.35</v>
      </c>
      <c r="D212">
        <v>115.37</v>
      </c>
      <c r="E212">
        <v>296.16000000000003</v>
      </c>
      <c r="F212">
        <v>312.20999999999998</v>
      </c>
    </row>
    <row r="213" spans="1:6" x14ac:dyDescent="0.25">
      <c r="A213" t="s">
        <v>218</v>
      </c>
      <c r="B213">
        <v>275.69</v>
      </c>
      <c r="C213">
        <v>506.02</v>
      </c>
      <c r="D213">
        <v>116.94</v>
      </c>
      <c r="E213">
        <v>299.36</v>
      </c>
      <c r="F213">
        <v>313.51</v>
      </c>
    </row>
    <row r="214" spans="1:6" x14ac:dyDescent="0.25">
      <c r="A214" t="s">
        <v>219</v>
      </c>
      <c r="B214">
        <v>277.85000000000002</v>
      </c>
      <c r="C214">
        <v>499.18</v>
      </c>
      <c r="D214">
        <v>115.44</v>
      </c>
      <c r="E214">
        <v>305.14999999999998</v>
      </c>
      <c r="F214">
        <v>323.89999999999998</v>
      </c>
    </row>
    <row r="215" spans="1:6" x14ac:dyDescent="0.25">
      <c r="A215" t="s">
        <v>220</v>
      </c>
      <c r="B215">
        <v>285.97000000000003</v>
      </c>
      <c r="C215">
        <v>506.97</v>
      </c>
      <c r="D215">
        <v>114.79</v>
      </c>
      <c r="E215">
        <v>315.92</v>
      </c>
      <c r="F215">
        <v>330.27</v>
      </c>
    </row>
    <row r="216" spans="1:6" x14ac:dyDescent="0.25">
      <c r="A216" t="s">
        <v>221</v>
      </c>
      <c r="B216">
        <v>290.55</v>
      </c>
      <c r="C216">
        <v>504.53</v>
      </c>
      <c r="D216">
        <v>116.41</v>
      </c>
      <c r="E216">
        <v>311.2</v>
      </c>
      <c r="F216">
        <v>318.95999999999998</v>
      </c>
    </row>
    <row r="217" spans="1:6" x14ac:dyDescent="0.25">
      <c r="A217" t="s">
        <v>222</v>
      </c>
      <c r="B217">
        <v>289.35000000000002</v>
      </c>
      <c r="C217">
        <v>501.87</v>
      </c>
      <c r="D217">
        <v>114.89</v>
      </c>
      <c r="E217">
        <v>312.45</v>
      </c>
      <c r="F217">
        <v>313.24</v>
      </c>
    </row>
    <row r="218" spans="1:6" x14ac:dyDescent="0.25">
      <c r="A218" t="s">
        <v>223</v>
      </c>
      <c r="B218">
        <v>278.11</v>
      </c>
      <c r="C218">
        <v>492.77</v>
      </c>
      <c r="D218">
        <v>113.92</v>
      </c>
      <c r="E218">
        <v>309.81</v>
      </c>
      <c r="F218">
        <v>315.8</v>
      </c>
    </row>
    <row r="219" spans="1:6" x14ac:dyDescent="0.25">
      <c r="A219" t="s">
        <v>224</v>
      </c>
      <c r="B219">
        <v>284.01</v>
      </c>
      <c r="C219">
        <v>493.04</v>
      </c>
      <c r="D219">
        <v>111.27</v>
      </c>
      <c r="E219">
        <v>309.02999999999997</v>
      </c>
      <c r="F219">
        <v>313.22000000000003</v>
      </c>
    </row>
    <row r="220" spans="1:6" x14ac:dyDescent="0.25">
      <c r="A220" t="s">
        <v>225</v>
      </c>
      <c r="B220">
        <v>283.57</v>
      </c>
      <c r="C220">
        <v>503.02</v>
      </c>
      <c r="D220">
        <v>110.48</v>
      </c>
      <c r="E220">
        <v>307.32</v>
      </c>
      <c r="F220">
        <v>319.24</v>
      </c>
    </row>
    <row r="221" spans="1:6" x14ac:dyDescent="0.25">
      <c r="A221" t="s">
        <v>226</v>
      </c>
      <c r="B221">
        <v>276.82</v>
      </c>
      <c r="C221">
        <v>510.13</v>
      </c>
      <c r="D221">
        <v>110.93</v>
      </c>
      <c r="E221">
        <v>304.92</v>
      </c>
      <c r="F221">
        <v>322.25</v>
      </c>
    </row>
    <row r="222" spans="1:6" x14ac:dyDescent="0.25">
      <c r="A222" t="s">
        <v>227</v>
      </c>
      <c r="B222">
        <v>282.98</v>
      </c>
      <c r="C222">
        <v>512.80999999999995</v>
      </c>
      <c r="D222">
        <v>110.56</v>
      </c>
      <c r="E222">
        <v>305.02</v>
      </c>
      <c r="F222">
        <v>325.13</v>
      </c>
    </row>
    <row r="223" spans="1:6" x14ac:dyDescent="0.25">
      <c r="A223" t="s">
        <v>228</v>
      </c>
      <c r="B223">
        <v>280.45999999999998</v>
      </c>
      <c r="C223">
        <v>513.58000000000004</v>
      </c>
      <c r="D223">
        <v>111.14</v>
      </c>
      <c r="E223">
        <v>306.76</v>
      </c>
      <c r="F223">
        <v>332.7</v>
      </c>
    </row>
    <row r="224" spans="1:6" x14ac:dyDescent="0.25">
      <c r="A224" t="s">
        <v>229</v>
      </c>
      <c r="B224">
        <v>280.75</v>
      </c>
      <c r="C224">
        <v>521.47</v>
      </c>
      <c r="D224">
        <v>111.46</v>
      </c>
      <c r="E224">
        <v>305.11</v>
      </c>
      <c r="F224">
        <v>335.81</v>
      </c>
    </row>
    <row r="225" spans="1:6" x14ac:dyDescent="0.25">
      <c r="A225" t="s">
        <v>230</v>
      </c>
      <c r="B225">
        <v>273.86</v>
      </c>
      <c r="C225">
        <v>537.13</v>
      </c>
      <c r="D225">
        <v>113.17</v>
      </c>
      <c r="E225">
        <v>301.23</v>
      </c>
      <c r="F225">
        <v>346.05</v>
      </c>
    </row>
    <row r="226" spans="1:6" x14ac:dyDescent="0.25">
      <c r="A226" t="s">
        <v>231</v>
      </c>
      <c r="B226">
        <v>266.77999999999997</v>
      </c>
      <c r="C226">
        <v>537.65</v>
      </c>
      <c r="D226">
        <v>111.79</v>
      </c>
      <c r="E226">
        <v>301.08</v>
      </c>
      <c r="F226">
        <v>358.3</v>
      </c>
    </row>
    <row r="227" spans="1:6" x14ac:dyDescent="0.25">
      <c r="A227" t="s">
        <v>232</v>
      </c>
      <c r="B227">
        <v>268.57</v>
      </c>
      <c r="C227">
        <v>527.17999999999995</v>
      </c>
      <c r="D227">
        <v>112.67</v>
      </c>
      <c r="E227">
        <v>299.89</v>
      </c>
      <c r="F227">
        <v>356.49</v>
      </c>
    </row>
    <row r="228" spans="1:6" x14ac:dyDescent="0.25">
      <c r="A228" t="s">
        <v>233</v>
      </c>
      <c r="B228">
        <v>259.25</v>
      </c>
      <c r="C228">
        <v>519.34</v>
      </c>
      <c r="D228">
        <v>112.14</v>
      </c>
      <c r="E228">
        <v>296.23</v>
      </c>
      <c r="F228">
        <v>353.1</v>
      </c>
    </row>
    <row r="229" spans="1:6" x14ac:dyDescent="0.25">
      <c r="A229" t="s">
        <v>234</v>
      </c>
      <c r="B229">
        <v>252.42</v>
      </c>
      <c r="C229">
        <v>516.30999999999995</v>
      </c>
      <c r="D229">
        <v>112.71</v>
      </c>
      <c r="E229">
        <v>290.42</v>
      </c>
      <c r="F229">
        <v>351.1</v>
      </c>
    </row>
    <row r="230" spans="1:6" x14ac:dyDescent="0.25">
      <c r="A230" t="s">
        <v>235</v>
      </c>
      <c r="B230">
        <v>251.04</v>
      </c>
      <c r="C230">
        <v>516.29</v>
      </c>
      <c r="D230">
        <v>111.48</v>
      </c>
      <c r="E230">
        <v>289.99</v>
      </c>
      <c r="F230">
        <v>352.11</v>
      </c>
    </row>
    <row r="231" spans="1:6" x14ac:dyDescent="0.25">
      <c r="A231" t="s">
        <v>236</v>
      </c>
      <c r="B231">
        <v>249.81</v>
      </c>
      <c r="C231">
        <v>513.44000000000005</v>
      </c>
      <c r="D231">
        <v>109.54</v>
      </c>
      <c r="E231">
        <v>292.93</v>
      </c>
      <c r="F231">
        <v>355.89</v>
      </c>
    </row>
    <row r="232" spans="1:6" x14ac:dyDescent="0.25">
      <c r="A232" t="s">
        <v>237</v>
      </c>
      <c r="B232">
        <v>255.88</v>
      </c>
      <c r="C232">
        <v>512.57000000000005</v>
      </c>
      <c r="D232">
        <v>109.53</v>
      </c>
      <c r="E232">
        <v>298.13</v>
      </c>
      <c r="F232">
        <v>355.03</v>
      </c>
    </row>
    <row r="233" spans="1:6" x14ac:dyDescent="0.25">
      <c r="A233" t="s">
        <v>238</v>
      </c>
      <c r="B233">
        <v>252.64</v>
      </c>
      <c r="C233">
        <v>509.39</v>
      </c>
      <c r="D233">
        <v>109.08</v>
      </c>
      <c r="E233">
        <v>293.39</v>
      </c>
      <c r="F233">
        <v>347.35</v>
      </c>
    </row>
    <row r="234" spans="1:6" x14ac:dyDescent="0.25">
      <c r="A234" t="s">
        <v>239</v>
      </c>
      <c r="B234">
        <v>250.81</v>
      </c>
      <c r="C234">
        <v>507.43</v>
      </c>
      <c r="D234">
        <v>107.52</v>
      </c>
      <c r="E234">
        <v>294.36</v>
      </c>
      <c r="F234">
        <v>347.42</v>
      </c>
    </row>
    <row r="235" spans="1:6" x14ac:dyDescent="0.25">
      <c r="A235" t="s">
        <v>240</v>
      </c>
      <c r="B235">
        <v>250.38</v>
      </c>
      <c r="C235">
        <v>509.24</v>
      </c>
      <c r="D235">
        <v>108.47</v>
      </c>
      <c r="E235">
        <v>301.41000000000003</v>
      </c>
      <c r="F235">
        <v>351.78</v>
      </c>
    </row>
    <row r="236" spans="1:6" x14ac:dyDescent="0.25">
      <c r="A236" t="s">
        <v>241</v>
      </c>
      <c r="B236">
        <v>244.81</v>
      </c>
      <c r="C236">
        <v>509.38</v>
      </c>
      <c r="D236">
        <v>109.13</v>
      </c>
      <c r="E236">
        <v>297.85000000000002</v>
      </c>
      <c r="F236">
        <v>350.59</v>
      </c>
    </row>
    <row r="237" spans="1:6" x14ac:dyDescent="0.25">
      <c r="A237" t="s">
        <v>242</v>
      </c>
      <c r="B237">
        <v>243.52</v>
      </c>
      <c r="C237">
        <v>509.86</v>
      </c>
      <c r="D237">
        <v>109.08</v>
      </c>
      <c r="E237">
        <v>303.66000000000003</v>
      </c>
      <c r="F237">
        <v>349.36</v>
      </c>
    </row>
    <row r="238" spans="1:6" x14ac:dyDescent="0.25">
      <c r="A238" t="s">
        <v>243</v>
      </c>
      <c r="B238">
        <v>235.96</v>
      </c>
      <c r="C238">
        <v>506.79</v>
      </c>
      <c r="D238">
        <v>107.61</v>
      </c>
      <c r="E238">
        <v>296.68</v>
      </c>
      <c r="F238">
        <v>345.31</v>
      </c>
    </row>
    <row r="239" spans="1:6" x14ac:dyDescent="0.25">
      <c r="A239" t="s">
        <v>244</v>
      </c>
      <c r="B239">
        <v>240.9</v>
      </c>
      <c r="C239">
        <v>518.14</v>
      </c>
      <c r="D239">
        <v>109.73</v>
      </c>
      <c r="E239">
        <v>301.25</v>
      </c>
      <c r="F239">
        <v>358.15</v>
      </c>
    </row>
    <row r="240" spans="1:6" x14ac:dyDescent="0.25">
      <c r="A240" t="s">
        <v>245</v>
      </c>
      <c r="B240">
        <v>243.99</v>
      </c>
      <c r="C240">
        <v>520.57000000000005</v>
      </c>
      <c r="D240">
        <v>110.81</v>
      </c>
      <c r="E240">
        <v>299.77</v>
      </c>
      <c r="F240">
        <v>360.33</v>
      </c>
    </row>
    <row r="241" spans="1:6" x14ac:dyDescent="0.25">
      <c r="A241" t="s">
        <v>246</v>
      </c>
      <c r="B241">
        <v>245.12</v>
      </c>
      <c r="C241">
        <v>519.70000000000005</v>
      </c>
      <c r="D241">
        <v>111.04</v>
      </c>
      <c r="E241">
        <v>303.38</v>
      </c>
      <c r="F241">
        <v>354.23</v>
      </c>
    </row>
    <row r="242" spans="1:6" x14ac:dyDescent="0.25">
      <c r="A242" t="s">
        <v>247</v>
      </c>
      <c r="B242">
        <v>249.78</v>
      </c>
      <c r="C242">
        <v>524.26</v>
      </c>
      <c r="D242">
        <v>110.98</v>
      </c>
      <c r="E242">
        <v>304.85000000000002</v>
      </c>
      <c r="F242">
        <v>349.46</v>
      </c>
    </row>
    <row r="243" spans="1:6" x14ac:dyDescent="0.25">
      <c r="A243" t="s">
        <v>248</v>
      </c>
      <c r="B243">
        <v>244.71</v>
      </c>
      <c r="C243">
        <v>513.13</v>
      </c>
      <c r="D243">
        <v>110.07</v>
      </c>
      <c r="E243">
        <v>304.20999999999998</v>
      </c>
      <c r="F243">
        <v>350.86</v>
      </c>
    </row>
    <row r="244" spans="1:6" x14ac:dyDescent="0.25">
      <c r="A244" t="s">
        <v>249</v>
      </c>
      <c r="B244">
        <v>245.05</v>
      </c>
      <c r="C244">
        <v>511.53</v>
      </c>
      <c r="D244">
        <v>108.16</v>
      </c>
      <c r="E244">
        <v>301.77999999999997</v>
      </c>
      <c r="F244">
        <v>344.55</v>
      </c>
    </row>
    <row r="245" spans="1:6" x14ac:dyDescent="0.25">
      <c r="A245" t="s">
        <v>250</v>
      </c>
      <c r="B245">
        <v>244.26</v>
      </c>
      <c r="C245">
        <v>515.47</v>
      </c>
      <c r="D245">
        <v>108.84</v>
      </c>
      <c r="E245">
        <v>304.88</v>
      </c>
      <c r="F245">
        <v>339.27</v>
      </c>
    </row>
    <row r="246" spans="1:6" x14ac:dyDescent="0.25">
      <c r="A246" t="s">
        <v>251</v>
      </c>
      <c r="B246">
        <v>242.47</v>
      </c>
      <c r="C246">
        <v>513.72</v>
      </c>
      <c r="D246">
        <v>109.57</v>
      </c>
      <c r="E246">
        <v>309.51</v>
      </c>
      <c r="F246">
        <v>336.34</v>
      </c>
    </row>
    <row r="247" spans="1:6" x14ac:dyDescent="0.25">
      <c r="A247" t="s">
        <v>252</v>
      </c>
      <c r="B247">
        <v>243.42</v>
      </c>
      <c r="C247">
        <v>510.4</v>
      </c>
      <c r="D247">
        <v>111</v>
      </c>
      <c r="E247">
        <v>309.76</v>
      </c>
      <c r="F247">
        <v>336.23</v>
      </c>
    </row>
    <row r="248" spans="1:6" x14ac:dyDescent="0.25">
      <c r="A248" t="s">
        <v>253</v>
      </c>
      <c r="B248">
        <v>245.9</v>
      </c>
      <c r="C248">
        <v>507.29</v>
      </c>
      <c r="D248">
        <v>113.92</v>
      </c>
      <c r="E248">
        <v>310.13</v>
      </c>
      <c r="F248">
        <v>335.16</v>
      </c>
    </row>
    <row r="249" spans="1:6" x14ac:dyDescent="0.25">
      <c r="A249" t="s">
        <v>254</v>
      </c>
      <c r="B249">
        <v>245.15</v>
      </c>
      <c r="C249">
        <v>502.89</v>
      </c>
      <c r="D249">
        <v>112.33</v>
      </c>
      <c r="E249">
        <v>307.57</v>
      </c>
      <c r="F249">
        <v>336.6</v>
      </c>
    </row>
    <row r="250" spans="1:6" x14ac:dyDescent="0.25">
      <c r="A250" t="s">
        <v>255</v>
      </c>
      <c r="B250">
        <v>246.5</v>
      </c>
      <c r="C250">
        <v>505.99</v>
      </c>
      <c r="D250">
        <v>111.33</v>
      </c>
      <c r="E250">
        <v>307.54000000000002</v>
      </c>
      <c r="F250">
        <v>342.69</v>
      </c>
    </row>
    <row r="251" spans="1:6" x14ac:dyDescent="0.25">
      <c r="A251" t="s">
        <v>256</v>
      </c>
      <c r="B251">
        <v>251.01</v>
      </c>
      <c r="C251">
        <v>505.07</v>
      </c>
      <c r="D251">
        <v>110.74</v>
      </c>
      <c r="E251">
        <v>306.87</v>
      </c>
      <c r="F251">
        <v>338.67</v>
      </c>
    </row>
    <row r="252" spans="1:6" x14ac:dyDescent="0.25">
      <c r="A252" t="s">
        <v>257</v>
      </c>
      <c r="B252">
        <v>251.87</v>
      </c>
      <c r="C252">
        <v>510.25</v>
      </c>
      <c r="D252">
        <v>108.86</v>
      </c>
      <c r="E252">
        <v>306.58</v>
      </c>
      <c r="F252">
        <v>332.45</v>
      </c>
    </row>
    <row r="253" spans="1:6" x14ac:dyDescent="0.25">
      <c r="A253" t="s">
        <v>258</v>
      </c>
      <c r="B253">
        <v>254.06</v>
      </c>
      <c r="C253">
        <v>513.70000000000005</v>
      </c>
      <c r="D253">
        <v>109.64</v>
      </c>
      <c r="E253">
        <v>308.87</v>
      </c>
      <c r="F253">
        <v>327.96</v>
      </c>
    </row>
    <row r="254" spans="1:6" x14ac:dyDescent="0.25">
      <c r="A254" t="s">
        <v>259</v>
      </c>
      <c r="B254">
        <v>251.38</v>
      </c>
      <c r="C254">
        <v>504.3</v>
      </c>
      <c r="D254">
        <v>110.72</v>
      </c>
      <c r="E254">
        <v>307.35000000000002</v>
      </c>
      <c r="F254">
        <v>326.14</v>
      </c>
    </row>
    <row r="255" spans="1:6" x14ac:dyDescent="0.25">
      <c r="A255" t="s">
        <v>260</v>
      </c>
      <c r="B255">
        <v>248.88</v>
      </c>
      <c r="C255">
        <v>505.86</v>
      </c>
      <c r="D255">
        <v>112.04</v>
      </c>
      <c r="E255">
        <v>305.89999999999998</v>
      </c>
      <c r="F255">
        <v>332.75</v>
      </c>
    </row>
    <row r="256" spans="1:6" x14ac:dyDescent="0.25">
      <c r="A256" t="s">
        <v>261</v>
      </c>
      <c r="B256">
        <v>250.51</v>
      </c>
      <c r="C256">
        <v>504.89</v>
      </c>
      <c r="D256">
        <v>111.45</v>
      </c>
      <c r="E256">
        <v>303.39</v>
      </c>
      <c r="F256">
        <v>330.97</v>
      </c>
    </row>
    <row r="257" spans="1:6" x14ac:dyDescent="0.25">
      <c r="A257" t="s">
        <v>262</v>
      </c>
      <c r="B257">
        <v>250.96</v>
      </c>
      <c r="C257">
        <v>511.15</v>
      </c>
      <c r="D257">
        <v>109.19</v>
      </c>
      <c r="E257">
        <v>303.10000000000002</v>
      </c>
      <c r="F257">
        <v>338.87</v>
      </c>
    </row>
    <row r="258" spans="1:6" x14ac:dyDescent="0.25">
      <c r="A258" t="s">
        <v>263</v>
      </c>
      <c r="B258">
        <v>240.18</v>
      </c>
      <c r="C258">
        <v>505.74</v>
      </c>
      <c r="D258">
        <v>109</v>
      </c>
      <c r="E258">
        <v>301.14999999999998</v>
      </c>
      <c r="F258">
        <v>341.21</v>
      </c>
    </row>
    <row r="259" spans="1:6" x14ac:dyDescent="0.25">
      <c r="A259" t="s">
        <v>264</v>
      </c>
      <c r="B259">
        <v>239.75</v>
      </c>
      <c r="C259">
        <v>496.92</v>
      </c>
      <c r="D259">
        <v>108.98</v>
      </c>
      <c r="E259">
        <v>299.82</v>
      </c>
      <c r="F259">
        <v>342.28</v>
      </c>
    </row>
    <row r="260" spans="1:6" x14ac:dyDescent="0.25">
      <c r="A260" t="s">
        <v>265</v>
      </c>
      <c r="B260">
        <v>238.55</v>
      </c>
      <c r="C260">
        <v>496.29</v>
      </c>
      <c r="D260">
        <v>109.33</v>
      </c>
      <c r="E260">
        <v>294.89999999999998</v>
      </c>
      <c r="F260">
        <v>335.67</v>
      </c>
    </row>
    <row r="261" spans="1:6" x14ac:dyDescent="0.25">
      <c r="A261" t="s">
        <v>266</v>
      </c>
      <c r="B261">
        <v>239.01</v>
      </c>
      <c r="C261">
        <v>494.34</v>
      </c>
      <c r="D261">
        <v>107.53</v>
      </c>
      <c r="E261">
        <v>292.26</v>
      </c>
      <c r="F261">
        <v>336.77</v>
      </c>
    </row>
    <row r="262" spans="1:6" x14ac:dyDescent="0.25">
      <c r="A262" t="s">
        <v>267</v>
      </c>
      <c r="B262">
        <v>233.43</v>
      </c>
      <c r="C262">
        <v>494.13</v>
      </c>
      <c r="D262">
        <v>106.76</v>
      </c>
      <c r="E262">
        <v>287.41000000000003</v>
      </c>
      <c r="F262">
        <v>309.99</v>
      </c>
    </row>
    <row r="263" spans="1:6" x14ac:dyDescent="0.25">
      <c r="A263" t="s">
        <v>268</v>
      </c>
      <c r="B263">
        <v>234.18</v>
      </c>
      <c r="C263">
        <v>490.96</v>
      </c>
      <c r="D263">
        <v>106.15</v>
      </c>
      <c r="E263">
        <v>288.85000000000002</v>
      </c>
      <c r="F263">
        <v>305.27999999999997</v>
      </c>
    </row>
    <row r="264" spans="1:6" x14ac:dyDescent="0.25">
      <c r="A264" t="s">
        <v>269</v>
      </c>
      <c r="B264">
        <v>231.49</v>
      </c>
      <c r="C264">
        <v>503.82</v>
      </c>
      <c r="D264">
        <v>109.23</v>
      </c>
      <c r="E264">
        <v>298.12</v>
      </c>
      <c r="F264">
        <v>300.43</v>
      </c>
    </row>
    <row r="265" spans="1:6" x14ac:dyDescent="0.25">
      <c r="A265" t="s">
        <v>270</v>
      </c>
      <c r="B265">
        <v>229.86</v>
      </c>
      <c r="C265">
        <v>501.23</v>
      </c>
      <c r="D265">
        <v>108.76</v>
      </c>
      <c r="E265">
        <v>293.89</v>
      </c>
      <c r="F265">
        <v>298.01</v>
      </c>
    </row>
    <row r="266" spans="1:6" x14ac:dyDescent="0.25">
      <c r="A266" t="s">
        <v>271</v>
      </c>
      <c r="B266">
        <v>210.61</v>
      </c>
      <c r="C266">
        <v>501</v>
      </c>
      <c r="D266">
        <v>111.46</v>
      </c>
      <c r="E266">
        <v>294.07</v>
      </c>
      <c r="F266">
        <v>298.89999999999998</v>
      </c>
    </row>
    <row r="267" spans="1:6" x14ac:dyDescent="0.25">
      <c r="A267" t="s">
        <v>272</v>
      </c>
      <c r="B267">
        <v>212.17</v>
      </c>
      <c r="C267">
        <v>502.56</v>
      </c>
      <c r="D267">
        <v>111.07</v>
      </c>
      <c r="E267">
        <v>295.76</v>
      </c>
      <c r="F267">
        <v>299.94</v>
      </c>
    </row>
    <row r="268" spans="1:6" x14ac:dyDescent="0.25">
      <c r="A268" t="s">
        <v>273</v>
      </c>
      <c r="B268">
        <v>210.9</v>
      </c>
      <c r="C268">
        <v>505.48</v>
      </c>
      <c r="D268">
        <v>110.16</v>
      </c>
      <c r="E268">
        <v>295.42</v>
      </c>
      <c r="F268">
        <v>292.60000000000002</v>
      </c>
    </row>
    <row r="269" spans="1:6" x14ac:dyDescent="0.25">
      <c r="A269" t="s">
        <v>274</v>
      </c>
      <c r="B269">
        <v>206.76</v>
      </c>
      <c r="C269">
        <v>502.6</v>
      </c>
      <c r="D269">
        <v>109.57</v>
      </c>
      <c r="E269">
        <v>293.66000000000003</v>
      </c>
      <c r="F269">
        <v>294.14</v>
      </c>
    </row>
    <row r="270" spans="1:6" x14ac:dyDescent="0.25">
      <c r="A270" t="s">
        <v>275</v>
      </c>
      <c r="B270">
        <v>206.42</v>
      </c>
      <c r="C270">
        <v>497.94</v>
      </c>
      <c r="D270">
        <v>108.35</v>
      </c>
      <c r="E270">
        <v>292.97000000000003</v>
      </c>
      <c r="F270">
        <v>290.8</v>
      </c>
    </row>
    <row r="271" spans="1:6" x14ac:dyDescent="0.25">
      <c r="A271" t="s">
        <v>276</v>
      </c>
      <c r="B271">
        <v>207.76</v>
      </c>
      <c r="C271">
        <v>500.14</v>
      </c>
      <c r="D271">
        <v>108.59</v>
      </c>
      <c r="E271">
        <v>289.36</v>
      </c>
      <c r="F271">
        <v>295.08999999999997</v>
      </c>
    </row>
    <row r="272" spans="1:6" x14ac:dyDescent="0.25">
      <c r="A272" t="s">
        <v>277</v>
      </c>
      <c r="B272">
        <v>205.37</v>
      </c>
      <c r="C272">
        <v>503.09</v>
      </c>
      <c r="D272">
        <v>108.15</v>
      </c>
      <c r="E272">
        <v>290.68</v>
      </c>
      <c r="F272">
        <v>297.57</v>
      </c>
    </row>
    <row r="273" spans="1:6" x14ac:dyDescent="0.25">
      <c r="A273" t="s">
        <v>278</v>
      </c>
      <c r="B273">
        <v>199.05</v>
      </c>
      <c r="C273">
        <v>500.13</v>
      </c>
      <c r="D273">
        <v>106.15</v>
      </c>
      <c r="E273">
        <v>286</v>
      </c>
      <c r="F273">
        <v>293.63</v>
      </c>
    </row>
    <row r="274" spans="1:6" x14ac:dyDescent="0.25">
      <c r="A274" t="s">
        <v>279</v>
      </c>
      <c r="B274">
        <v>198.63</v>
      </c>
      <c r="C274">
        <v>500.77</v>
      </c>
      <c r="D274">
        <v>105.47</v>
      </c>
      <c r="E274">
        <v>286.75</v>
      </c>
      <c r="F274">
        <v>290.23</v>
      </c>
    </row>
    <row r="275" spans="1:6" x14ac:dyDescent="0.25">
      <c r="A275" t="s">
        <v>280</v>
      </c>
      <c r="B275">
        <v>200.87</v>
      </c>
      <c r="C275">
        <v>504.78</v>
      </c>
      <c r="D275">
        <v>104.39</v>
      </c>
      <c r="E275">
        <v>285.2</v>
      </c>
      <c r="F275">
        <v>294.49</v>
      </c>
    </row>
    <row r="276" spans="1:6" x14ac:dyDescent="0.25">
      <c r="A276" t="s">
        <v>281</v>
      </c>
      <c r="B276">
        <v>202.79</v>
      </c>
      <c r="C276">
        <v>512.04</v>
      </c>
      <c r="D276">
        <v>103.71</v>
      </c>
      <c r="E276">
        <v>286.06</v>
      </c>
      <c r="F276">
        <v>298.60000000000002</v>
      </c>
    </row>
    <row r="277" spans="1:6" x14ac:dyDescent="0.25">
      <c r="A277" t="s">
        <v>282</v>
      </c>
      <c r="B277">
        <v>203.19</v>
      </c>
      <c r="C277">
        <v>515.08000000000004</v>
      </c>
      <c r="D277">
        <v>103.49</v>
      </c>
      <c r="E277">
        <v>285.04000000000002</v>
      </c>
      <c r="F277">
        <v>294.27</v>
      </c>
    </row>
    <row r="278" spans="1:6" x14ac:dyDescent="0.25">
      <c r="A278" t="s">
        <v>283</v>
      </c>
      <c r="B278">
        <v>202.23</v>
      </c>
      <c r="C278">
        <v>517.37</v>
      </c>
      <c r="D278">
        <v>103.39</v>
      </c>
      <c r="E278">
        <v>288.64</v>
      </c>
      <c r="F278">
        <v>262.79000000000002</v>
      </c>
    </row>
    <row r="279" spans="1:6" x14ac:dyDescent="0.25">
      <c r="A279" t="s">
        <v>284</v>
      </c>
      <c r="B279">
        <v>201.26</v>
      </c>
      <c r="C279">
        <v>515.48</v>
      </c>
      <c r="D279">
        <v>103.61</v>
      </c>
      <c r="E279">
        <v>285.08</v>
      </c>
      <c r="F279">
        <v>263.10000000000002</v>
      </c>
    </row>
    <row r="280" spans="1:6" x14ac:dyDescent="0.25">
      <c r="A280" t="s">
        <v>285</v>
      </c>
      <c r="B280">
        <v>202.63</v>
      </c>
      <c r="C280">
        <v>524.05999999999995</v>
      </c>
      <c r="D280">
        <v>102.19</v>
      </c>
      <c r="E280">
        <v>287.35000000000002</v>
      </c>
      <c r="F280">
        <v>253.19</v>
      </c>
    </row>
    <row r="281" spans="1:6" x14ac:dyDescent="0.25">
      <c r="A281" t="s">
        <v>286</v>
      </c>
      <c r="B281">
        <v>200.3</v>
      </c>
      <c r="C281">
        <v>516.66</v>
      </c>
      <c r="D281">
        <v>101.9</v>
      </c>
      <c r="E281">
        <v>284.12</v>
      </c>
      <c r="F281">
        <v>244.28</v>
      </c>
    </row>
    <row r="282" spans="1:6" x14ac:dyDescent="0.25">
      <c r="A282" t="s">
        <v>287</v>
      </c>
      <c r="B282">
        <v>200.72</v>
      </c>
      <c r="C282">
        <v>516.92999999999995</v>
      </c>
      <c r="D282">
        <v>102.83</v>
      </c>
      <c r="E282">
        <v>283.33999999999997</v>
      </c>
      <c r="F282">
        <v>242.85</v>
      </c>
    </row>
    <row r="283" spans="1:6" x14ac:dyDescent="0.25">
      <c r="A283" t="s">
        <v>288</v>
      </c>
      <c r="B283">
        <v>195.84</v>
      </c>
      <c r="C283">
        <v>515.74</v>
      </c>
      <c r="D283">
        <v>102.02</v>
      </c>
      <c r="E283">
        <v>281.55</v>
      </c>
      <c r="F283">
        <v>236.83</v>
      </c>
    </row>
    <row r="284" spans="1:6" x14ac:dyDescent="0.25">
      <c r="A284" t="s">
        <v>289</v>
      </c>
      <c r="B284">
        <v>195.41</v>
      </c>
      <c r="C284">
        <v>519.79999999999995</v>
      </c>
      <c r="D284">
        <v>102.56</v>
      </c>
      <c r="E284">
        <v>285.88</v>
      </c>
      <c r="F284">
        <v>237.9</v>
      </c>
    </row>
    <row r="285" spans="1:6" x14ac:dyDescent="0.25">
      <c r="A285" t="s">
        <v>290</v>
      </c>
      <c r="B285">
        <v>193.99</v>
      </c>
      <c r="C285">
        <v>522.58000000000004</v>
      </c>
      <c r="D285">
        <v>103.26</v>
      </c>
      <c r="E285">
        <v>285.89999999999998</v>
      </c>
      <c r="F285">
        <v>242.96</v>
      </c>
    </row>
    <row r="286" spans="1:6" x14ac:dyDescent="0.25">
      <c r="A286" t="s">
        <v>291</v>
      </c>
      <c r="B286">
        <v>194.36</v>
      </c>
      <c r="C286">
        <v>530.4</v>
      </c>
      <c r="D286">
        <v>103.38</v>
      </c>
      <c r="E286">
        <v>288.74</v>
      </c>
      <c r="F286">
        <v>233.26</v>
      </c>
    </row>
    <row r="287" spans="1:6" x14ac:dyDescent="0.25">
      <c r="A287" t="s">
        <v>292</v>
      </c>
      <c r="B287">
        <v>188.47</v>
      </c>
      <c r="C287">
        <v>518.98</v>
      </c>
      <c r="D287">
        <v>105.57</v>
      </c>
      <c r="E287">
        <v>283.94</v>
      </c>
      <c r="F287">
        <v>230.15</v>
      </c>
    </row>
    <row r="288" spans="1:6" x14ac:dyDescent="0.25">
      <c r="A288" t="s">
        <v>293</v>
      </c>
      <c r="B288">
        <v>191.23</v>
      </c>
      <c r="C288">
        <v>528.28</v>
      </c>
      <c r="D288">
        <v>107.5</v>
      </c>
      <c r="E288">
        <v>290.68</v>
      </c>
      <c r="F288">
        <v>241.56</v>
      </c>
    </row>
    <row r="289" spans="1:6" x14ac:dyDescent="0.25">
      <c r="A289" t="s">
        <v>294</v>
      </c>
      <c r="B289">
        <v>195.85</v>
      </c>
      <c r="C289">
        <v>508.22</v>
      </c>
      <c r="D289">
        <v>107.75</v>
      </c>
      <c r="E289">
        <v>294.01</v>
      </c>
      <c r="F289">
        <v>257.52</v>
      </c>
    </row>
    <row r="290" spans="1:6" x14ac:dyDescent="0.25">
      <c r="A290" t="s">
        <v>295</v>
      </c>
      <c r="B290">
        <v>195.07</v>
      </c>
      <c r="C290">
        <v>507.55</v>
      </c>
      <c r="D290">
        <v>108.69</v>
      </c>
      <c r="E290">
        <v>291.45999999999998</v>
      </c>
      <c r="F290">
        <v>252.7</v>
      </c>
    </row>
    <row r="291" spans="1:6" x14ac:dyDescent="0.25">
      <c r="A291" t="s">
        <v>296</v>
      </c>
      <c r="B291">
        <v>191.91</v>
      </c>
      <c r="C291">
        <v>507.48</v>
      </c>
      <c r="D291">
        <v>107.3</v>
      </c>
      <c r="E291">
        <v>292.68</v>
      </c>
      <c r="F291">
        <v>273.08</v>
      </c>
    </row>
    <row r="292" spans="1:6" x14ac:dyDescent="0.25">
      <c r="A292" t="s">
        <v>297</v>
      </c>
      <c r="B292">
        <v>192.51</v>
      </c>
      <c r="C292">
        <v>508.68</v>
      </c>
      <c r="D292">
        <v>106.3</v>
      </c>
      <c r="E292">
        <v>293.01</v>
      </c>
      <c r="F292">
        <v>272.05</v>
      </c>
    </row>
    <row r="293" spans="1:6" x14ac:dyDescent="0.25">
      <c r="A293" t="s">
        <v>298</v>
      </c>
      <c r="B293">
        <v>191.5</v>
      </c>
      <c r="C293">
        <v>505.88</v>
      </c>
      <c r="D293">
        <v>106.68</v>
      </c>
      <c r="E293">
        <v>290.98</v>
      </c>
      <c r="F293">
        <v>269.64999999999998</v>
      </c>
    </row>
    <row r="294" spans="1:6" x14ac:dyDescent="0.25">
      <c r="A294" t="s">
        <v>299</v>
      </c>
      <c r="B294">
        <v>189.57</v>
      </c>
      <c r="C294">
        <v>500.92</v>
      </c>
      <c r="D294">
        <v>105.85</v>
      </c>
      <c r="E294">
        <v>291.19</v>
      </c>
      <c r="F294">
        <v>283.14</v>
      </c>
    </row>
    <row r="295" spans="1:6" x14ac:dyDescent="0.25">
      <c r="A295" t="s">
        <v>300</v>
      </c>
      <c r="B295">
        <v>190.67</v>
      </c>
      <c r="C295">
        <v>500.32</v>
      </c>
      <c r="D295">
        <v>104.51</v>
      </c>
      <c r="E295">
        <v>285.95999999999998</v>
      </c>
      <c r="F295">
        <v>275.99</v>
      </c>
    </row>
    <row r="296" spans="1:6" x14ac:dyDescent="0.25">
      <c r="A296" t="s">
        <v>301</v>
      </c>
      <c r="B296">
        <v>189.44</v>
      </c>
      <c r="C296">
        <v>505.07</v>
      </c>
      <c r="D296">
        <v>104.04</v>
      </c>
      <c r="E296">
        <v>285.51</v>
      </c>
      <c r="F296">
        <v>273.10000000000002</v>
      </c>
    </row>
    <row r="297" spans="1:6" x14ac:dyDescent="0.25">
      <c r="A297" t="s">
        <v>302</v>
      </c>
      <c r="B297">
        <v>184.42</v>
      </c>
      <c r="C297">
        <v>505.06</v>
      </c>
      <c r="D297">
        <v>103.77</v>
      </c>
      <c r="E297">
        <v>285.8</v>
      </c>
      <c r="F297">
        <v>273.58999999999997</v>
      </c>
    </row>
    <row r="298" spans="1:6" x14ac:dyDescent="0.25">
      <c r="A298" t="s">
        <v>303</v>
      </c>
      <c r="B298">
        <v>182.94</v>
      </c>
      <c r="C298">
        <v>506.69</v>
      </c>
      <c r="D298">
        <v>107.51</v>
      </c>
      <c r="E298">
        <v>284.45999999999998</v>
      </c>
      <c r="F298">
        <v>278.83999999999997</v>
      </c>
    </row>
    <row r="299" spans="1:6" x14ac:dyDescent="0.25">
      <c r="A299" t="s">
        <v>304</v>
      </c>
      <c r="B299">
        <v>182.33</v>
      </c>
      <c r="C299">
        <v>500.67</v>
      </c>
      <c r="D299">
        <v>108.06</v>
      </c>
      <c r="E299">
        <v>280.45</v>
      </c>
      <c r="F299">
        <v>283.12</v>
      </c>
    </row>
    <row r="300" spans="1:6" x14ac:dyDescent="0.25">
      <c r="A300" t="s">
        <v>305</v>
      </c>
      <c r="B300">
        <v>181.37</v>
      </c>
      <c r="C300">
        <v>500.87</v>
      </c>
      <c r="D300">
        <v>108.72</v>
      </c>
      <c r="E300">
        <v>281.17</v>
      </c>
      <c r="F300">
        <v>282.36</v>
      </c>
    </row>
    <row r="301" spans="1:6" x14ac:dyDescent="0.25">
      <c r="A301" t="s">
        <v>306</v>
      </c>
      <c r="B301">
        <v>180.93</v>
      </c>
      <c r="C301">
        <v>498.1</v>
      </c>
      <c r="D301">
        <v>109.69</v>
      </c>
      <c r="E301">
        <v>283.27999999999997</v>
      </c>
      <c r="F301">
        <v>290.95</v>
      </c>
    </row>
    <row r="302" spans="1:6" x14ac:dyDescent="0.25">
      <c r="A302" t="s">
        <v>307</v>
      </c>
      <c r="B302">
        <v>179.56</v>
      </c>
      <c r="C302">
        <v>498.39</v>
      </c>
      <c r="D302">
        <v>111.14</v>
      </c>
      <c r="E302">
        <v>281.48</v>
      </c>
      <c r="F302">
        <v>294.36</v>
      </c>
    </row>
    <row r="303" spans="1:6" x14ac:dyDescent="0.25">
      <c r="A303" t="s">
        <v>308</v>
      </c>
      <c r="B303">
        <v>177</v>
      </c>
      <c r="C303">
        <v>496.57</v>
      </c>
      <c r="D303">
        <v>110.66</v>
      </c>
      <c r="E303">
        <v>282.77999999999997</v>
      </c>
      <c r="F303">
        <v>289.91000000000003</v>
      </c>
    </row>
    <row r="304" spans="1:6" x14ac:dyDescent="0.25">
      <c r="A304" t="s">
        <v>309</v>
      </c>
      <c r="B304">
        <v>176</v>
      </c>
      <c r="C304">
        <v>498.58</v>
      </c>
      <c r="D304">
        <v>109.58</v>
      </c>
      <c r="E304">
        <v>277.83999999999997</v>
      </c>
      <c r="F304">
        <v>293.2</v>
      </c>
    </row>
    <row r="305" spans="1:6" x14ac:dyDescent="0.25">
      <c r="A305" t="s">
        <v>310</v>
      </c>
      <c r="B305">
        <v>173.75</v>
      </c>
      <c r="C305">
        <v>491.76</v>
      </c>
      <c r="D305">
        <v>109.95</v>
      </c>
      <c r="E305">
        <v>277.47000000000003</v>
      </c>
      <c r="F305">
        <v>297.83999999999997</v>
      </c>
    </row>
    <row r="306" spans="1:6" x14ac:dyDescent="0.25">
      <c r="A306" t="s">
        <v>311</v>
      </c>
      <c r="B306">
        <v>176.17</v>
      </c>
      <c r="C306">
        <v>492.85</v>
      </c>
      <c r="D306">
        <v>106.98</v>
      </c>
      <c r="E306">
        <v>286.49</v>
      </c>
      <c r="F306">
        <v>293.98</v>
      </c>
    </row>
    <row r="307" spans="1:6" x14ac:dyDescent="0.25">
      <c r="A307" t="s">
        <v>312</v>
      </c>
      <c r="B307">
        <v>178.9</v>
      </c>
      <c r="C307">
        <v>493.96</v>
      </c>
      <c r="D307">
        <v>108.03</v>
      </c>
      <c r="E307">
        <v>290.44</v>
      </c>
      <c r="F307">
        <v>298.66000000000003</v>
      </c>
    </row>
    <row r="308" spans="1:6" x14ac:dyDescent="0.25">
      <c r="A308" t="s">
        <v>313</v>
      </c>
      <c r="B308">
        <v>178.02</v>
      </c>
      <c r="C308">
        <v>486.28</v>
      </c>
      <c r="D308">
        <v>106.93</v>
      </c>
      <c r="E308">
        <v>285.14</v>
      </c>
      <c r="F308">
        <v>297.7</v>
      </c>
    </row>
    <row r="309" spans="1:6" x14ac:dyDescent="0.25">
      <c r="A309" t="s">
        <v>314</v>
      </c>
      <c r="B309">
        <v>175.23</v>
      </c>
      <c r="C309">
        <v>487.23</v>
      </c>
      <c r="D309">
        <v>105.18</v>
      </c>
      <c r="E309">
        <v>283.58999999999997</v>
      </c>
      <c r="F309">
        <v>315.69</v>
      </c>
    </row>
    <row r="310" spans="1:6" x14ac:dyDescent="0.25">
      <c r="A310" t="s">
        <v>315</v>
      </c>
      <c r="B310">
        <v>175.62</v>
      </c>
      <c r="C310">
        <v>492.54</v>
      </c>
      <c r="D310">
        <v>103.8</v>
      </c>
      <c r="E310">
        <v>283.10000000000002</v>
      </c>
      <c r="F310">
        <v>301.97000000000003</v>
      </c>
    </row>
    <row r="311" spans="1:6" x14ac:dyDescent="0.25">
      <c r="A311" t="s">
        <v>316</v>
      </c>
      <c r="B311">
        <v>177.91</v>
      </c>
      <c r="C311">
        <v>491.09</v>
      </c>
      <c r="D311">
        <v>105.32</v>
      </c>
      <c r="E311">
        <v>280.37</v>
      </c>
      <c r="F311">
        <v>299.2</v>
      </c>
    </row>
    <row r="312" spans="1:6" x14ac:dyDescent="0.25">
      <c r="A312" t="s">
        <v>317</v>
      </c>
      <c r="B312">
        <v>172.94</v>
      </c>
      <c r="C312">
        <v>492.58</v>
      </c>
      <c r="D312">
        <v>105.91</v>
      </c>
      <c r="E312">
        <v>281.97000000000003</v>
      </c>
      <c r="F312">
        <v>292.92</v>
      </c>
    </row>
    <row r="313" spans="1:6" x14ac:dyDescent="0.25">
      <c r="A313" t="s">
        <v>318</v>
      </c>
      <c r="B313">
        <v>170.09</v>
      </c>
      <c r="C313">
        <v>487.45</v>
      </c>
      <c r="D313">
        <v>104.35</v>
      </c>
      <c r="E313">
        <v>277.39</v>
      </c>
      <c r="F313">
        <v>292.33999999999997</v>
      </c>
    </row>
    <row r="314" spans="1:6" x14ac:dyDescent="0.25">
      <c r="A314" t="s">
        <v>319</v>
      </c>
      <c r="B314">
        <v>166.19</v>
      </c>
      <c r="C314">
        <v>485.31</v>
      </c>
      <c r="D314">
        <v>104.32</v>
      </c>
      <c r="E314">
        <v>274.66000000000003</v>
      </c>
      <c r="F314">
        <v>295.83</v>
      </c>
    </row>
    <row r="315" spans="1:6" x14ac:dyDescent="0.25">
      <c r="A315" t="s">
        <v>320</v>
      </c>
      <c r="B315">
        <v>164.61</v>
      </c>
      <c r="C315">
        <v>481.24</v>
      </c>
      <c r="D315">
        <v>107.59</v>
      </c>
      <c r="E315">
        <v>271.74</v>
      </c>
      <c r="F315">
        <v>291.05</v>
      </c>
    </row>
    <row r="316" spans="1:6" x14ac:dyDescent="0.25">
      <c r="A316" t="s">
        <v>321</v>
      </c>
      <c r="B316">
        <v>166.06</v>
      </c>
      <c r="C316">
        <v>472.73</v>
      </c>
      <c r="D316">
        <v>110.44</v>
      </c>
      <c r="E316">
        <v>268.54000000000002</v>
      </c>
      <c r="F316">
        <v>292.33</v>
      </c>
    </row>
    <row r="317" spans="1:6" x14ac:dyDescent="0.25">
      <c r="A317" t="s">
        <v>322</v>
      </c>
      <c r="B317">
        <v>172.72</v>
      </c>
      <c r="C317">
        <v>475.54</v>
      </c>
      <c r="D317">
        <v>108.99</v>
      </c>
      <c r="E317">
        <v>267.52999999999997</v>
      </c>
      <c r="F317">
        <v>297.36</v>
      </c>
    </row>
    <row r="318" spans="1:6" x14ac:dyDescent="0.25">
      <c r="A318" t="s">
        <v>323</v>
      </c>
      <c r="B318">
        <v>175.34</v>
      </c>
      <c r="C318">
        <v>473.36</v>
      </c>
      <c r="D318">
        <v>109.77</v>
      </c>
      <c r="E318">
        <v>263.19</v>
      </c>
      <c r="F318">
        <v>298.97000000000003</v>
      </c>
    </row>
    <row r="319" spans="1:6" x14ac:dyDescent="0.25">
      <c r="A319" t="s">
        <v>324</v>
      </c>
      <c r="B319">
        <v>176.15</v>
      </c>
      <c r="C319">
        <v>474.45</v>
      </c>
      <c r="D319">
        <v>108.3</v>
      </c>
      <c r="E319">
        <v>264.01</v>
      </c>
      <c r="F319">
        <v>297.8</v>
      </c>
    </row>
    <row r="320" spans="1:6" x14ac:dyDescent="0.25">
      <c r="A320" t="s">
        <v>325</v>
      </c>
      <c r="B320">
        <v>174.06</v>
      </c>
      <c r="C320">
        <v>470.31</v>
      </c>
      <c r="D320">
        <v>107.96</v>
      </c>
      <c r="E320">
        <v>258.73</v>
      </c>
      <c r="F320">
        <v>301.33999999999997</v>
      </c>
    </row>
    <row r="321" spans="1:6" x14ac:dyDescent="0.25">
      <c r="A321" t="s">
        <v>326</v>
      </c>
      <c r="B321">
        <v>175.09</v>
      </c>
      <c r="C321">
        <v>474.18</v>
      </c>
      <c r="D321">
        <v>105.66</v>
      </c>
      <c r="E321">
        <v>261.94</v>
      </c>
      <c r="F321">
        <v>306.12</v>
      </c>
    </row>
    <row r="322" spans="1:6" x14ac:dyDescent="0.25">
      <c r="A322" t="s">
        <v>327</v>
      </c>
      <c r="B322">
        <v>176.73</v>
      </c>
      <c r="C322">
        <v>467.99</v>
      </c>
      <c r="D322">
        <v>105.25</v>
      </c>
      <c r="E322">
        <v>261.85000000000002</v>
      </c>
      <c r="F322">
        <v>298.49</v>
      </c>
    </row>
    <row r="323" spans="1:6" x14ac:dyDescent="0.25">
      <c r="A323" t="s">
        <v>328</v>
      </c>
      <c r="B323">
        <v>177.98</v>
      </c>
      <c r="C323">
        <v>466.31</v>
      </c>
      <c r="D323">
        <v>103.24</v>
      </c>
      <c r="E323">
        <v>262.29000000000002</v>
      </c>
      <c r="F323">
        <v>291.98</v>
      </c>
    </row>
    <row r="324" spans="1:6" x14ac:dyDescent="0.25">
      <c r="A324" t="s">
        <v>329</v>
      </c>
      <c r="B324">
        <v>175.48</v>
      </c>
      <c r="C324">
        <v>468.12</v>
      </c>
      <c r="D324">
        <v>101.07</v>
      </c>
      <c r="E324">
        <v>260.48</v>
      </c>
      <c r="F324">
        <v>291.41000000000003</v>
      </c>
    </row>
    <row r="325" spans="1:6" x14ac:dyDescent="0.25">
      <c r="A325" t="s">
        <v>330</v>
      </c>
      <c r="B325">
        <v>172.87</v>
      </c>
      <c r="C325">
        <v>465.78</v>
      </c>
      <c r="D325">
        <v>100.4</v>
      </c>
      <c r="E325">
        <v>259.49</v>
      </c>
      <c r="F325">
        <v>291.43</v>
      </c>
    </row>
    <row r="326" spans="1:6" x14ac:dyDescent="0.25">
      <c r="A326" t="s">
        <v>331</v>
      </c>
      <c r="B326">
        <v>167.42</v>
      </c>
      <c r="C326">
        <v>463.1</v>
      </c>
      <c r="D326">
        <v>98.05</v>
      </c>
      <c r="E326">
        <v>255.8</v>
      </c>
      <c r="F326">
        <v>284.33999999999997</v>
      </c>
    </row>
    <row r="327" spans="1:6" x14ac:dyDescent="0.25">
      <c r="A327" t="s">
        <v>332</v>
      </c>
      <c r="B327">
        <v>167.26</v>
      </c>
      <c r="C327">
        <v>459.33</v>
      </c>
      <c r="D327">
        <v>98.5</v>
      </c>
      <c r="E327">
        <v>258.02</v>
      </c>
      <c r="F327">
        <v>288.70999999999998</v>
      </c>
    </row>
    <row r="328" spans="1:6" x14ac:dyDescent="0.25">
      <c r="A328" t="s">
        <v>333</v>
      </c>
      <c r="B328">
        <v>165.4</v>
      </c>
      <c r="C328">
        <v>458.44</v>
      </c>
      <c r="D328">
        <v>99.95</v>
      </c>
      <c r="E328">
        <v>260.02</v>
      </c>
      <c r="F328">
        <v>289.51</v>
      </c>
    </row>
    <row r="329" spans="1:6" x14ac:dyDescent="0.25">
      <c r="A329" t="s">
        <v>334</v>
      </c>
      <c r="B329">
        <v>168.24</v>
      </c>
      <c r="C329">
        <v>457.45</v>
      </c>
      <c r="D329">
        <v>99.22</v>
      </c>
      <c r="E329">
        <v>258.45</v>
      </c>
      <c r="F329">
        <v>292.88</v>
      </c>
    </row>
    <row r="330" spans="1:6" x14ac:dyDescent="0.25">
      <c r="A330" t="s">
        <v>335</v>
      </c>
      <c r="B330">
        <v>170.93</v>
      </c>
      <c r="C330">
        <v>455.85</v>
      </c>
      <c r="D330">
        <v>98.5</v>
      </c>
      <c r="E330">
        <v>257.8</v>
      </c>
      <c r="F330">
        <v>290.18</v>
      </c>
    </row>
    <row r="331" spans="1:6" x14ac:dyDescent="0.25">
      <c r="A331" t="s">
        <v>336</v>
      </c>
      <c r="B331">
        <v>171.05</v>
      </c>
      <c r="C331">
        <v>454.19</v>
      </c>
      <c r="D331">
        <v>98.88</v>
      </c>
      <c r="E331">
        <v>258.16000000000003</v>
      </c>
      <c r="F331">
        <v>286.58</v>
      </c>
    </row>
    <row r="332" spans="1:6" x14ac:dyDescent="0.25">
      <c r="A332" t="s">
        <v>337</v>
      </c>
      <c r="B332">
        <v>171.55</v>
      </c>
      <c r="C332">
        <v>452.88</v>
      </c>
      <c r="D332">
        <v>98.32</v>
      </c>
      <c r="E332">
        <v>257.3</v>
      </c>
      <c r="F332">
        <v>286.52</v>
      </c>
    </row>
    <row r="333" spans="1:6" x14ac:dyDescent="0.25">
      <c r="A333" t="s">
        <v>338</v>
      </c>
      <c r="B333">
        <v>172.09</v>
      </c>
      <c r="C333">
        <v>456.18</v>
      </c>
      <c r="D333">
        <v>99.68</v>
      </c>
      <c r="E333">
        <v>259.06</v>
      </c>
      <c r="F333">
        <v>283.52999999999997</v>
      </c>
    </row>
    <row r="334" spans="1:6" x14ac:dyDescent="0.25">
      <c r="A334" t="s">
        <v>339</v>
      </c>
      <c r="B334">
        <v>167.68</v>
      </c>
      <c r="C334">
        <v>445.77</v>
      </c>
      <c r="D334">
        <v>99.2</v>
      </c>
      <c r="E334">
        <v>254.59</v>
      </c>
      <c r="F334">
        <v>284.08</v>
      </c>
    </row>
    <row r="335" spans="1:6" x14ac:dyDescent="0.25">
      <c r="A335" t="s">
        <v>340</v>
      </c>
      <c r="B335">
        <v>170.07</v>
      </c>
      <c r="C335">
        <v>450.41</v>
      </c>
      <c r="D335">
        <v>99.15</v>
      </c>
      <c r="E335">
        <v>254.55</v>
      </c>
      <c r="F335">
        <v>285.14</v>
      </c>
    </row>
    <row r="336" spans="1:6" x14ac:dyDescent="0.25">
      <c r="A336" t="s">
        <v>341</v>
      </c>
      <c r="B336">
        <v>167.77</v>
      </c>
      <c r="C336">
        <v>448.14</v>
      </c>
      <c r="D336">
        <v>99.81</v>
      </c>
      <c r="E336">
        <v>254.91</v>
      </c>
      <c r="F336">
        <v>291.2</v>
      </c>
    </row>
    <row r="337" spans="1:6" x14ac:dyDescent="0.25">
      <c r="A337" t="s">
        <v>342</v>
      </c>
      <c r="B337">
        <v>163.21</v>
      </c>
      <c r="C337">
        <v>453.69</v>
      </c>
      <c r="D337">
        <v>101.05</v>
      </c>
      <c r="E337">
        <v>259.44</v>
      </c>
      <c r="F337">
        <v>309.08</v>
      </c>
    </row>
    <row r="338" spans="1:6" x14ac:dyDescent="0.25">
      <c r="A338" t="s">
        <v>343</v>
      </c>
      <c r="B338">
        <v>165.76</v>
      </c>
      <c r="C338">
        <v>454.38</v>
      </c>
      <c r="D338">
        <v>102.52</v>
      </c>
      <c r="E338">
        <v>258.66000000000003</v>
      </c>
      <c r="F338">
        <v>303.61</v>
      </c>
    </row>
    <row r="339" spans="1:6" x14ac:dyDescent="0.25">
      <c r="A339" t="s">
        <v>344</v>
      </c>
      <c r="B339">
        <v>165.41</v>
      </c>
      <c r="C339">
        <v>449.82</v>
      </c>
      <c r="D339">
        <v>104.17</v>
      </c>
      <c r="E339">
        <v>261.27999999999997</v>
      </c>
      <c r="F339">
        <v>280.56</v>
      </c>
    </row>
    <row r="340" spans="1:6" x14ac:dyDescent="0.25">
      <c r="A340" t="s">
        <v>345</v>
      </c>
      <c r="B340">
        <v>163.19</v>
      </c>
      <c r="C340">
        <v>448.69</v>
      </c>
      <c r="D340">
        <v>104.55</v>
      </c>
      <c r="E340">
        <v>261.20999999999998</v>
      </c>
      <c r="F340">
        <v>263.69</v>
      </c>
    </row>
    <row r="341" spans="1:6" x14ac:dyDescent="0.25">
      <c r="A341" t="s">
        <v>346</v>
      </c>
      <c r="B341">
        <v>164.59</v>
      </c>
      <c r="C341">
        <v>447.68</v>
      </c>
      <c r="D341">
        <v>103.5</v>
      </c>
      <c r="E341">
        <v>259.39999999999998</v>
      </c>
      <c r="F341">
        <v>296.04000000000002</v>
      </c>
    </row>
    <row r="342" spans="1:6" x14ac:dyDescent="0.25">
      <c r="A342" t="s">
        <v>347</v>
      </c>
      <c r="B342">
        <v>158.78</v>
      </c>
      <c r="C342">
        <v>443.93</v>
      </c>
      <c r="D342">
        <v>104.43</v>
      </c>
      <c r="E342">
        <v>256.83999999999997</v>
      </c>
      <c r="F342">
        <v>299.27999999999997</v>
      </c>
    </row>
    <row r="343" spans="1:6" x14ac:dyDescent="0.25">
      <c r="A343" t="s">
        <v>348</v>
      </c>
      <c r="B343">
        <v>157.72</v>
      </c>
      <c r="C343">
        <v>444.05</v>
      </c>
      <c r="D343">
        <v>104.15</v>
      </c>
      <c r="E343">
        <v>253.95</v>
      </c>
      <c r="F343">
        <v>364.03</v>
      </c>
    </row>
    <row r="344" spans="1:6" x14ac:dyDescent="0.25">
      <c r="A344" t="s">
        <v>349</v>
      </c>
      <c r="B344">
        <v>152.03</v>
      </c>
      <c r="C344">
        <v>433.64</v>
      </c>
      <c r="D344">
        <v>102.38</v>
      </c>
      <c r="E344">
        <v>247.14</v>
      </c>
      <c r="F344">
        <v>365.85</v>
      </c>
    </row>
    <row r="345" spans="1:6" x14ac:dyDescent="0.25">
      <c r="A345" t="s">
        <v>350</v>
      </c>
      <c r="B345">
        <v>153.56</v>
      </c>
      <c r="C345">
        <v>433.09</v>
      </c>
      <c r="D345">
        <v>101.2</v>
      </c>
      <c r="E345">
        <v>247.52</v>
      </c>
      <c r="F345">
        <v>370.57</v>
      </c>
    </row>
    <row r="346" spans="1:6" x14ac:dyDescent="0.25">
      <c r="A346" t="s">
        <v>351</v>
      </c>
      <c r="B346">
        <v>150.66999999999999</v>
      </c>
      <c r="C346">
        <v>428.32</v>
      </c>
      <c r="D346">
        <v>99.81</v>
      </c>
      <c r="E346">
        <v>243.54</v>
      </c>
      <c r="F346">
        <v>375.86</v>
      </c>
    </row>
    <row r="347" spans="1:6" x14ac:dyDescent="0.25">
      <c r="A347" t="s">
        <v>352</v>
      </c>
      <c r="B347">
        <v>162.46</v>
      </c>
      <c r="C347">
        <v>428.28</v>
      </c>
      <c r="D347">
        <v>99.9</v>
      </c>
      <c r="E347">
        <v>243.4</v>
      </c>
      <c r="F347">
        <v>379.18</v>
      </c>
    </row>
    <row r="348" spans="1:6" x14ac:dyDescent="0.25">
      <c r="A348" t="s">
        <v>353</v>
      </c>
      <c r="B348">
        <v>163.44</v>
      </c>
      <c r="C348">
        <v>431.11</v>
      </c>
      <c r="D348">
        <v>98.53</v>
      </c>
      <c r="E348">
        <v>246.63</v>
      </c>
      <c r="F348">
        <v>389.08</v>
      </c>
    </row>
    <row r="349" spans="1:6" x14ac:dyDescent="0.25">
      <c r="A349" t="s">
        <v>354</v>
      </c>
      <c r="B349">
        <v>163.26</v>
      </c>
      <c r="C349">
        <v>430.23</v>
      </c>
      <c r="D349">
        <v>101.33</v>
      </c>
      <c r="E349">
        <v>246.58</v>
      </c>
      <c r="F349">
        <v>384.38</v>
      </c>
    </row>
    <row r="350" spans="1:6" x14ac:dyDescent="0.25">
      <c r="A350" t="s">
        <v>355</v>
      </c>
      <c r="B350">
        <v>160.54</v>
      </c>
      <c r="C350">
        <v>420.46</v>
      </c>
      <c r="D350">
        <v>100.92</v>
      </c>
      <c r="E350">
        <v>241.09</v>
      </c>
      <c r="F350">
        <v>385.11</v>
      </c>
    </row>
    <row r="351" spans="1:6" x14ac:dyDescent="0.25">
      <c r="A351" t="s">
        <v>356</v>
      </c>
      <c r="B351">
        <v>158.06</v>
      </c>
      <c r="C351">
        <v>390.67</v>
      </c>
      <c r="D351">
        <v>100.78</v>
      </c>
      <c r="E351">
        <v>238.88</v>
      </c>
      <c r="F351">
        <v>395.45</v>
      </c>
    </row>
    <row r="352" spans="1:6" x14ac:dyDescent="0.25">
      <c r="A352" t="s">
        <v>357</v>
      </c>
      <c r="B352">
        <v>159.41</v>
      </c>
      <c r="C352">
        <v>389.47</v>
      </c>
      <c r="D352">
        <v>103.38</v>
      </c>
      <c r="E352">
        <v>238.88</v>
      </c>
      <c r="F352">
        <v>393.32</v>
      </c>
    </row>
    <row r="353" spans="1:6" x14ac:dyDescent="0.25">
      <c r="A353" t="s">
        <v>358</v>
      </c>
      <c r="B353">
        <v>159.86000000000001</v>
      </c>
      <c r="C353">
        <v>386.62</v>
      </c>
      <c r="D353">
        <v>103.64</v>
      </c>
      <c r="E353">
        <v>237.51</v>
      </c>
      <c r="F353">
        <v>403.68</v>
      </c>
    </row>
    <row r="354" spans="1:6" x14ac:dyDescent="0.25">
      <c r="A354" t="s">
        <v>359</v>
      </c>
      <c r="B354">
        <v>161.19999999999999</v>
      </c>
      <c r="C354">
        <v>387.3</v>
      </c>
      <c r="D354">
        <v>103.59</v>
      </c>
      <c r="E354">
        <v>237.83</v>
      </c>
      <c r="F354">
        <v>402.37</v>
      </c>
    </row>
    <row r="355" spans="1:6" x14ac:dyDescent="0.25">
      <c r="A355" t="s">
        <v>360</v>
      </c>
      <c r="B355">
        <v>158.53</v>
      </c>
      <c r="C355">
        <v>382.81</v>
      </c>
      <c r="D355">
        <v>103.64</v>
      </c>
      <c r="E355">
        <v>238.9</v>
      </c>
      <c r="F355">
        <v>407.76</v>
      </c>
    </row>
    <row r="356" spans="1:6" x14ac:dyDescent="0.25">
      <c r="A356" t="s">
        <v>361</v>
      </c>
      <c r="B356">
        <v>154.62</v>
      </c>
      <c r="C356">
        <v>370.05</v>
      </c>
      <c r="D356">
        <v>102.44</v>
      </c>
      <c r="E356">
        <v>235.23</v>
      </c>
      <c r="F356">
        <v>411.33</v>
      </c>
    </row>
    <row r="357" spans="1:6" x14ac:dyDescent="0.25">
      <c r="A357" t="s">
        <v>362</v>
      </c>
      <c r="B357">
        <v>150.76</v>
      </c>
      <c r="C357">
        <v>362.56</v>
      </c>
      <c r="D357">
        <v>103.33</v>
      </c>
      <c r="E357">
        <v>230.06</v>
      </c>
      <c r="F357">
        <v>410.58</v>
      </c>
    </row>
    <row r="358" spans="1:6" x14ac:dyDescent="0.25">
      <c r="A358" t="s">
        <v>363</v>
      </c>
      <c r="B358">
        <v>146.97999999999999</v>
      </c>
      <c r="C358">
        <v>354.95</v>
      </c>
      <c r="D358">
        <v>100.51</v>
      </c>
      <c r="E358">
        <v>223.61</v>
      </c>
      <c r="F358">
        <v>408.8</v>
      </c>
    </row>
    <row r="359" spans="1:6" x14ac:dyDescent="0.25">
      <c r="A359" t="s">
        <v>364</v>
      </c>
      <c r="B359">
        <v>150.44999999999999</v>
      </c>
      <c r="C359">
        <v>363.51</v>
      </c>
      <c r="D359">
        <v>102.01</v>
      </c>
      <c r="E359">
        <v>226.51</v>
      </c>
      <c r="F359">
        <v>436.46</v>
      </c>
    </row>
    <row r="360" spans="1:6" x14ac:dyDescent="0.25">
      <c r="A360" t="s">
        <v>365</v>
      </c>
      <c r="B360">
        <v>152.61000000000001</v>
      </c>
      <c r="C360">
        <v>367.3</v>
      </c>
      <c r="D360">
        <v>99.41</v>
      </c>
      <c r="E360">
        <v>224.22</v>
      </c>
      <c r="F360">
        <v>562.29999999999995</v>
      </c>
    </row>
    <row r="361" spans="1:6" x14ac:dyDescent="0.25">
      <c r="A361" t="s">
        <v>366</v>
      </c>
      <c r="B361">
        <v>155.58000000000001</v>
      </c>
      <c r="C361">
        <v>381.25</v>
      </c>
      <c r="D361">
        <v>98.37</v>
      </c>
      <c r="E361">
        <v>227.66</v>
      </c>
      <c r="F361">
        <v>560.91</v>
      </c>
    </row>
    <row r="362" spans="1:6" x14ac:dyDescent="0.25">
      <c r="A362" t="s">
        <v>367</v>
      </c>
      <c r="B362">
        <v>158.32</v>
      </c>
      <c r="C362">
        <v>383.31</v>
      </c>
      <c r="D362">
        <v>98.64</v>
      </c>
      <c r="E362">
        <v>229.21</v>
      </c>
      <c r="F362">
        <v>564.24</v>
      </c>
    </row>
    <row r="363" spans="1:6" x14ac:dyDescent="0.25">
      <c r="A363" t="s">
        <v>368</v>
      </c>
      <c r="B363">
        <v>156.4</v>
      </c>
      <c r="C363">
        <v>383.94</v>
      </c>
      <c r="D363">
        <v>98.4</v>
      </c>
      <c r="E363">
        <v>230.65</v>
      </c>
      <c r="F363">
        <v>576.16999999999996</v>
      </c>
    </row>
    <row r="364" spans="1:6" x14ac:dyDescent="0.25">
      <c r="A364" t="s">
        <v>369</v>
      </c>
      <c r="B364">
        <v>152.1</v>
      </c>
      <c r="C364">
        <v>376.93</v>
      </c>
      <c r="D364">
        <v>95.34</v>
      </c>
      <c r="E364">
        <v>221.78</v>
      </c>
      <c r="F364">
        <v>571.29999999999995</v>
      </c>
    </row>
    <row r="365" spans="1:6" x14ac:dyDescent="0.25">
      <c r="A365" t="s">
        <v>370</v>
      </c>
      <c r="B365">
        <v>157.97</v>
      </c>
      <c r="C365">
        <v>385.96</v>
      </c>
      <c r="D365">
        <v>100.94</v>
      </c>
      <c r="E365">
        <v>228.84</v>
      </c>
      <c r="F365">
        <v>556.02</v>
      </c>
    </row>
    <row r="366" spans="1:6" x14ac:dyDescent="0.25">
      <c r="A366" t="s">
        <v>371</v>
      </c>
      <c r="B366">
        <v>144.02000000000001</v>
      </c>
      <c r="C366">
        <v>350.45</v>
      </c>
      <c r="D366">
        <v>96.14</v>
      </c>
      <c r="E366">
        <v>211.78</v>
      </c>
      <c r="F366">
        <v>531.58000000000004</v>
      </c>
    </row>
    <row r="367" spans="1:6" x14ac:dyDescent="0.25">
      <c r="A367" t="s">
        <v>372</v>
      </c>
      <c r="B367">
        <v>146.06</v>
      </c>
      <c r="C367">
        <v>353.71</v>
      </c>
      <c r="D367">
        <v>98.21</v>
      </c>
      <c r="E367">
        <v>209.41</v>
      </c>
      <c r="F367">
        <v>504.31</v>
      </c>
    </row>
    <row r="368" spans="1:6" x14ac:dyDescent="0.25">
      <c r="A368" t="s">
        <v>373</v>
      </c>
      <c r="B368">
        <v>144.91999999999999</v>
      </c>
      <c r="C368">
        <v>355.66</v>
      </c>
      <c r="D368">
        <v>99.55</v>
      </c>
      <c r="E368">
        <v>205.34</v>
      </c>
      <c r="F368">
        <v>504.64</v>
      </c>
    </row>
    <row r="369" spans="1:6" x14ac:dyDescent="0.25">
      <c r="A369" t="s">
        <v>374</v>
      </c>
      <c r="B369">
        <v>150.01</v>
      </c>
      <c r="C369">
        <v>368.78</v>
      </c>
      <c r="D369">
        <v>107.27</v>
      </c>
      <c r="E369">
        <v>221.95</v>
      </c>
      <c r="F369">
        <v>519.42999999999995</v>
      </c>
    </row>
    <row r="370" spans="1:6" x14ac:dyDescent="0.25">
      <c r="A370" t="s">
        <v>375</v>
      </c>
      <c r="B370">
        <v>156.30000000000001</v>
      </c>
      <c r="C370">
        <v>377.71</v>
      </c>
      <c r="D370">
        <v>113.22</v>
      </c>
      <c r="E370">
        <v>238.58</v>
      </c>
      <c r="F370">
        <v>502.87</v>
      </c>
    </row>
    <row r="371" spans="1:6" x14ac:dyDescent="0.25">
      <c r="A371" t="s">
        <v>376</v>
      </c>
      <c r="B371">
        <v>156.33000000000001</v>
      </c>
      <c r="C371">
        <v>377.76</v>
      </c>
      <c r="D371">
        <v>113.57</v>
      </c>
      <c r="E371">
        <v>236.48</v>
      </c>
      <c r="F371">
        <v>502.79</v>
      </c>
    </row>
    <row r="372" spans="1:6" x14ac:dyDescent="0.25">
      <c r="A372" t="s">
        <v>377</v>
      </c>
      <c r="B372">
        <v>153.91</v>
      </c>
      <c r="C372">
        <v>371.03</v>
      </c>
      <c r="D372">
        <v>113.47</v>
      </c>
      <c r="E372">
        <v>238.07</v>
      </c>
      <c r="F372">
        <v>503.39</v>
      </c>
    </row>
    <row r="373" spans="1:6" x14ac:dyDescent="0.25">
      <c r="A373" t="s">
        <v>378</v>
      </c>
      <c r="B373">
        <v>153.61000000000001</v>
      </c>
      <c r="C373">
        <v>374.4</v>
      </c>
      <c r="D373">
        <v>112.32</v>
      </c>
      <c r="E373">
        <v>235.7</v>
      </c>
      <c r="F373">
        <v>495.98</v>
      </c>
    </row>
    <row r="374" spans="1:6" x14ac:dyDescent="0.25">
      <c r="A374" t="s">
        <v>379</v>
      </c>
      <c r="B374">
        <v>161.47999999999999</v>
      </c>
      <c r="C374">
        <v>386.05</v>
      </c>
      <c r="D374">
        <v>112.48</v>
      </c>
      <c r="E374">
        <v>240.81</v>
      </c>
      <c r="F374">
        <v>495.68</v>
      </c>
    </row>
    <row r="375" spans="1:6" x14ac:dyDescent="0.25">
      <c r="A375" t="s">
        <v>380</v>
      </c>
      <c r="B375">
        <v>164.29</v>
      </c>
      <c r="C375">
        <v>385.45</v>
      </c>
      <c r="D375">
        <v>112.84</v>
      </c>
      <c r="E375">
        <v>243.64</v>
      </c>
      <c r="F375">
        <v>498.06</v>
      </c>
    </row>
    <row r="376" spans="1:6" x14ac:dyDescent="0.25">
      <c r="A376" t="s">
        <v>381</v>
      </c>
      <c r="B376">
        <v>169.76</v>
      </c>
      <c r="C376">
        <v>390.58</v>
      </c>
      <c r="D376">
        <v>111.24</v>
      </c>
      <c r="E376">
        <v>243.73</v>
      </c>
      <c r="F376">
        <v>493.47</v>
      </c>
    </row>
    <row r="377" spans="1:6" x14ac:dyDescent="0.25">
      <c r="A377" t="s">
        <v>382</v>
      </c>
      <c r="B377">
        <v>166.89</v>
      </c>
      <c r="C377">
        <v>388.52</v>
      </c>
      <c r="D377">
        <v>110.48</v>
      </c>
      <c r="E377">
        <v>240.75</v>
      </c>
      <c r="F377">
        <v>496.43</v>
      </c>
    </row>
    <row r="378" spans="1:6" x14ac:dyDescent="0.25">
      <c r="A378" t="s">
        <v>383</v>
      </c>
      <c r="B378">
        <v>163.22</v>
      </c>
      <c r="C378">
        <v>386.72</v>
      </c>
      <c r="D378">
        <v>110.2</v>
      </c>
      <c r="E378">
        <v>234.51</v>
      </c>
      <c r="F378">
        <v>496.76</v>
      </c>
    </row>
    <row r="379" spans="1:6" x14ac:dyDescent="0.25">
      <c r="A379" t="s">
        <v>384</v>
      </c>
      <c r="B379">
        <v>162.04</v>
      </c>
      <c r="C379">
        <v>382.35</v>
      </c>
      <c r="D379">
        <v>110.58</v>
      </c>
      <c r="E379">
        <v>231.97</v>
      </c>
      <c r="F379">
        <v>491.43</v>
      </c>
    </row>
    <row r="380" spans="1:6" x14ac:dyDescent="0.25">
      <c r="A380" t="s">
        <v>385</v>
      </c>
      <c r="B380">
        <v>163.12</v>
      </c>
      <c r="C380">
        <v>383.32</v>
      </c>
      <c r="D380">
        <v>110.11</v>
      </c>
      <c r="E380">
        <v>232.07</v>
      </c>
      <c r="F380">
        <v>483.64</v>
      </c>
    </row>
    <row r="381" spans="1:6" x14ac:dyDescent="0.25">
      <c r="A381" t="s">
        <v>386</v>
      </c>
      <c r="B381">
        <v>159.91999999999999</v>
      </c>
      <c r="C381">
        <v>379.07</v>
      </c>
      <c r="D381">
        <v>108.42</v>
      </c>
      <c r="E381">
        <v>228.05</v>
      </c>
      <c r="F381">
        <v>484.22</v>
      </c>
    </row>
    <row r="382" spans="1:6" x14ac:dyDescent="0.25">
      <c r="A382" t="s">
        <v>387</v>
      </c>
      <c r="B382">
        <v>163.52000000000001</v>
      </c>
      <c r="C382">
        <v>384.19</v>
      </c>
      <c r="D382">
        <v>108.54</v>
      </c>
      <c r="E382">
        <v>227.04</v>
      </c>
      <c r="F382">
        <v>479.62</v>
      </c>
    </row>
    <row r="383" spans="1:6" x14ac:dyDescent="0.25">
      <c r="A383" t="s">
        <v>388</v>
      </c>
      <c r="B383">
        <v>164.71</v>
      </c>
      <c r="C383">
        <v>384.05</v>
      </c>
      <c r="D383">
        <v>106.76</v>
      </c>
      <c r="E383">
        <v>225.59</v>
      </c>
      <c r="F383">
        <v>469.66</v>
      </c>
    </row>
    <row r="384" spans="1:6" x14ac:dyDescent="0.25">
      <c r="A384" t="s">
        <v>389</v>
      </c>
      <c r="B384">
        <v>162</v>
      </c>
      <c r="C384">
        <v>374.38</v>
      </c>
      <c r="D384">
        <v>103.68</v>
      </c>
      <c r="E384">
        <v>218.56</v>
      </c>
      <c r="F384">
        <v>462.8</v>
      </c>
    </row>
    <row r="385" spans="1:6" x14ac:dyDescent="0.25">
      <c r="A385" t="s">
        <v>390</v>
      </c>
      <c r="B385">
        <v>166.33</v>
      </c>
      <c r="C385">
        <v>378.82</v>
      </c>
      <c r="D385">
        <v>104.12</v>
      </c>
      <c r="E385">
        <v>221.19</v>
      </c>
      <c r="F385">
        <v>462.41</v>
      </c>
    </row>
    <row r="386" spans="1:6" x14ac:dyDescent="0.25">
      <c r="A386" t="s">
        <v>391</v>
      </c>
      <c r="B386">
        <v>163.27000000000001</v>
      </c>
      <c r="C386">
        <v>376.04</v>
      </c>
      <c r="D386">
        <v>104.15</v>
      </c>
      <c r="E386">
        <v>222.39</v>
      </c>
      <c r="F386">
        <v>467.15</v>
      </c>
    </row>
    <row r="387" spans="1:6" x14ac:dyDescent="0.25">
      <c r="A387" t="s">
        <v>392</v>
      </c>
      <c r="B387">
        <v>165.09</v>
      </c>
      <c r="C387">
        <v>375.75</v>
      </c>
      <c r="D387">
        <v>106.67</v>
      </c>
      <c r="E387">
        <v>225.38</v>
      </c>
      <c r="F387">
        <v>461.56</v>
      </c>
    </row>
    <row r="388" spans="1:6" x14ac:dyDescent="0.25">
      <c r="A388" t="s">
        <v>393</v>
      </c>
      <c r="B388">
        <v>172.85</v>
      </c>
      <c r="C388">
        <v>388.75</v>
      </c>
      <c r="D388">
        <v>104.01</v>
      </c>
      <c r="E388">
        <v>235.14</v>
      </c>
      <c r="F388">
        <v>472.28</v>
      </c>
    </row>
    <row r="389" spans="1:6" x14ac:dyDescent="0.25">
      <c r="A389" t="s">
        <v>394</v>
      </c>
      <c r="B389">
        <v>171.34</v>
      </c>
      <c r="C389">
        <v>392.28</v>
      </c>
      <c r="D389">
        <v>102.68</v>
      </c>
      <c r="E389">
        <v>239.28</v>
      </c>
      <c r="F389">
        <v>466.77</v>
      </c>
    </row>
    <row r="390" spans="1:6" x14ac:dyDescent="0.25">
      <c r="A390" t="s">
        <v>395</v>
      </c>
      <c r="B390">
        <v>172.01</v>
      </c>
      <c r="C390">
        <v>396.37</v>
      </c>
      <c r="D390">
        <v>100.6</v>
      </c>
      <c r="E390">
        <v>244.12</v>
      </c>
      <c r="F390">
        <v>455.53</v>
      </c>
    </row>
    <row r="391" spans="1:6" x14ac:dyDescent="0.25">
      <c r="A391" t="s">
        <v>396</v>
      </c>
      <c r="B391">
        <v>169.92</v>
      </c>
      <c r="C391">
        <v>384.1</v>
      </c>
      <c r="D391">
        <v>102.6</v>
      </c>
      <c r="E391">
        <v>242.88</v>
      </c>
      <c r="F391">
        <v>454.22</v>
      </c>
    </row>
    <row r="392" spans="1:6" x14ac:dyDescent="0.25">
      <c r="A392" t="s">
        <v>397</v>
      </c>
      <c r="B392">
        <v>166.04</v>
      </c>
      <c r="C392">
        <v>383.98</v>
      </c>
      <c r="D392">
        <v>102.81</v>
      </c>
      <c r="E392">
        <v>252.94</v>
      </c>
      <c r="F392">
        <v>446.99</v>
      </c>
    </row>
    <row r="393" spans="1:6" x14ac:dyDescent="0.25">
      <c r="A393" t="s">
        <v>398</v>
      </c>
      <c r="B393">
        <v>169.29</v>
      </c>
      <c r="C393">
        <v>392.38</v>
      </c>
      <c r="D393">
        <v>106.22</v>
      </c>
      <c r="E393">
        <v>256.85000000000002</v>
      </c>
      <c r="F393">
        <v>454.56</v>
      </c>
    </row>
    <row r="394" spans="1:6" x14ac:dyDescent="0.25">
      <c r="A394" t="s">
        <v>399</v>
      </c>
      <c r="B394">
        <v>167.52</v>
      </c>
      <c r="C394">
        <v>387.98</v>
      </c>
      <c r="D394">
        <v>105.09</v>
      </c>
      <c r="E394">
        <v>251.42</v>
      </c>
      <c r="F394">
        <v>448.43</v>
      </c>
    </row>
    <row r="395" spans="1:6" x14ac:dyDescent="0.25">
      <c r="A395" t="s">
        <v>400</v>
      </c>
      <c r="B395">
        <v>171.72</v>
      </c>
      <c r="C395">
        <v>395.09</v>
      </c>
      <c r="D395">
        <v>104.43</v>
      </c>
      <c r="E395">
        <v>251.17</v>
      </c>
      <c r="F395">
        <v>443.68</v>
      </c>
    </row>
    <row r="396" spans="1:6" x14ac:dyDescent="0.25">
      <c r="A396" t="s">
        <v>401</v>
      </c>
      <c r="B396">
        <v>174.4</v>
      </c>
      <c r="C396">
        <v>393.28</v>
      </c>
      <c r="D396">
        <v>104.69</v>
      </c>
      <c r="E396">
        <v>249.82</v>
      </c>
      <c r="F396">
        <v>450.17</v>
      </c>
    </row>
    <row r="397" spans="1:6" x14ac:dyDescent="0.25">
      <c r="A397" t="s">
        <v>402</v>
      </c>
      <c r="B397">
        <v>178.2</v>
      </c>
      <c r="C397">
        <v>399.31</v>
      </c>
      <c r="D397">
        <v>106.16</v>
      </c>
      <c r="E397">
        <v>253.64</v>
      </c>
      <c r="F397">
        <v>441.69</v>
      </c>
    </row>
    <row r="398" spans="1:6" x14ac:dyDescent="0.25">
      <c r="A398" t="s">
        <v>403</v>
      </c>
      <c r="B398">
        <v>178.61</v>
      </c>
      <c r="C398">
        <v>403.47</v>
      </c>
      <c r="D398">
        <v>105.61</v>
      </c>
      <c r="E398">
        <v>256.45999999999998</v>
      </c>
      <c r="F398">
        <v>446.38</v>
      </c>
    </row>
    <row r="399" spans="1:6" x14ac:dyDescent="0.25">
      <c r="A399" t="s">
        <v>404</v>
      </c>
      <c r="B399">
        <v>183.48</v>
      </c>
      <c r="C399">
        <v>411.3</v>
      </c>
      <c r="D399">
        <v>106.86</v>
      </c>
      <c r="E399">
        <v>258.94</v>
      </c>
      <c r="F399">
        <v>480.84</v>
      </c>
    </row>
    <row r="400" spans="1:6" x14ac:dyDescent="0.25">
      <c r="A400" t="s">
        <v>405</v>
      </c>
      <c r="B400">
        <v>184.19</v>
      </c>
      <c r="C400">
        <v>409.14</v>
      </c>
      <c r="D400">
        <v>105.24</v>
      </c>
      <c r="E400">
        <v>271.02</v>
      </c>
      <c r="F400">
        <v>489.09</v>
      </c>
    </row>
    <row r="401" spans="1:6" x14ac:dyDescent="0.25">
      <c r="A401" t="s">
        <v>406</v>
      </c>
      <c r="B401">
        <v>182.7</v>
      </c>
      <c r="C401">
        <v>404.08</v>
      </c>
      <c r="D401">
        <v>105.08</v>
      </c>
      <c r="E401">
        <v>271.7</v>
      </c>
      <c r="F401">
        <v>479.22</v>
      </c>
    </row>
    <row r="402" spans="1:6" x14ac:dyDescent="0.25">
      <c r="A402" t="s">
        <v>407</v>
      </c>
      <c r="B402">
        <v>184.15</v>
      </c>
      <c r="C402">
        <v>402.88</v>
      </c>
      <c r="D402">
        <v>103.27</v>
      </c>
      <c r="E402">
        <v>268.44</v>
      </c>
      <c r="F402">
        <v>501.02</v>
      </c>
    </row>
    <row r="403" spans="1:6" x14ac:dyDescent="0.25">
      <c r="A403" t="s">
        <v>408</v>
      </c>
      <c r="B403">
        <v>185.05</v>
      </c>
      <c r="C403">
        <v>404.96</v>
      </c>
      <c r="D403">
        <v>103.17</v>
      </c>
      <c r="E403">
        <v>268.18</v>
      </c>
      <c r="F403">
        <v>508.36</v>
      </c>
    </row>
    <row r="404" spans="1:6" x14ac:dyDescent="0.25">
      <c r="A404" t="s">
        <v>409</v>
      </c>
      <c r="B404">
        <v>182.54</v>
      </c>
      <c r="C404">
        <v>403.48</v>
      </c>
      <c r="D404">
        <v>102.42</v>
      </c>
      <c r="E404">
        <v>267.33999999999997</v>
      </c>
      <c r="F404">
        <v>504.74</v>
      </c>
    </row>
    <row r="405" spans="1:6" x14ac:dyDescent="0.25">
      <c r="A405" t="s">
        <v>410</v>
      </c>
      <c r="B405">
        <v>184.24</v>
      </c>
      <c r="C405">
        <v>405.85</v>
      </c>
      <c r="D405">
        <v>105.6</v>
      </c>
      <c r="E405">
        <v>266.89</v>
      </c>
      <c r="F405">
        <v>510.98</v>
      </c>
    </row>
    <row r="406" spans="1:6" x14ac:dyDescent="0.25">
      <c r="A406" t="s">
        <v>411</v>
      </c>
      <c r="B406">
        <v>185.38</v>
      </c>
      <c r="C406">
        <v>406.62</v>
      </c>
      <c r="D406">
        <v>104.94</v>
      </c>
      <c r="E406">
        <v>263.06</v>
      </c>
      <c r="F406">
        <v>510.46</v>
      </c>
    </row>
    <row r="407" spans="1:6" x14ac:dyDescent="0.25">
      <c r="A407" t="s">
        <v>412</v>
      </c>
      <c r="B407">
        <v>184.26</v>
      </c>
      <c r="C407">
        <v>404.19</v>
      </c>
      <c r="D407">
        <v>102.97</v>
      </c>
      <c r="E407">
        <v>267.68</v>
      </c>
      <c r="F407">
        <v>504.39</v>
      </c>
    </row>
    <row r="408" spans="1:6" x14ac:dyDescent="0.25">
      <c r="A408" t="s">
        <v>413</v>
      </c>
      <c r="B408">
        <v>190.48</v>
      </c>
      <c r="C408">
        <v>410.17</v>
      </c>
      <c r="D408">
        <v>102.53</v>
      </c>
      <c r="E408">
        <v>268.74</v>
      </c>
      <c r="F408">
        <v>507.27</v>
      </c>
    </row>
    <row r="409" spans="1:6" x14ac:dyDescent="0.25">
      <c r="A409" t="s">
        <v>414</v>
      </c>
      <c r="B409">
        <v>190.21</v>
      </c>
      <c r="C409">
        <v>407.68</v>
      </c>
      <c r="D409">
        <v>103.91</v>
      </c>
      <c r="E409">
        <v>262.45999999999998</v>
      </c>
      <c r="F409">
        <v>516.62</v>
      </c>
    </row>
    <row r="410" spans="1:6" x14ac:dyDescent="0.25">
      <c r="A410" t="s">
        <v>415</v>
      </c>
      <c r="B410">
        <v>205.18</v>
      </c>
      <c r="C410">
        <v>406.77</v>
      </c>
      <c r="D410">
        <v>103.98</v>
      </c>
      <c r="E410">
        <v>260.05</v>
      </c>
      <c r="F410">
        <v>522.02</v>
      </c>
    </row>
    <row r="411" spans="1:6" x14ac:dyDescent="0.25">
      <c r="A411" t="s">
        <v>416</v>
      </c>
      <c r="B411">
        <v>200.06</v>
      </c>
      <c r="C411">
        <v>405.34</v>
      </c>
      <c r="D411">
        <v>101.27</v>
      </c>
      <c r="E411">
        <v>258.95</v>
      </c>
      <c r="F411">
        <v>524.63</v>
      </c>
    </row>
    <row r="412" spans="1:6" x14ac:dyDescent="0.25">
      <c r="A412" t="s">
        <v>417</v>
      </c>
      <c r="B412">
        <v>202.83</v>
      </c>
      <c r="C412">
        <v>409.42</v>
      </c>
      <c r="D412">
        <v>101.02</v>
      </c>
      <c r="E412">
        <v>259.43</v>
      </c>
      <c r="F412">
        <v>519.19000000000005</v>
      </c>
    </row>
    <row r="413" spans="1:6" x14ac:dyDescent="0.25">
      <c r="A413" t="s">
        <v>418</v>
      </c>
      <c r="B413">
        <v>199.7</v>
      </c>
      <c r="C413">
        <v>409.35</v>
      </c>
      <c r="D413">
        <v>103.61</v>
      </c>
      <c r="E413">
        <v>260.33</v>
      </c>
      <c r="F413">
        <v>522.13</v>
      </c>
    </row>
    <row r="414" spans="1:6" x14ac:dyDescent="0.25">
      <c r="A414" t="s">
        <v>419</v>
      </c>
      <c r="B414">
        <v>194.27</v>
      </c>
      <c r="C414">
        <v>436.32</v>
      </c>
      <c r="D414">
        <v>102.76</v>
      </c>
      <c r="E414">
        <v>258.73</v>
      </c>
      <c r="F414">
        <v>514.99</v>
      </c>
    </row>
    <row r="415" spans="1:6" x14ac:dyDescent="0.25">
      <c r="A415" t="s">
        <v>420</v>
      </c>
      <c r="B415">
        <v>194.16</v>
      </c>
      <c r="C415">
        <v>441.13</v>
      </c>
      <c r="D415">
        <v>102.17</v>
      </c>
      <c r="E415">
        <v>259.27</v>
      </c>
      <c r="F415">
        <v>519.17999999999995</v>
      </c>
    </row>
    <row r="416" spans="1:6" x14ac:dyDescent="0.25">
      <c r="A416" t="s">
        <v>421</v>
      </c>
      <c r="B416">
        <v>190.69</v>
      </c>
      <c r="C416">
        <v>428.66</v>
      </c>
      <c r="D416">
        <v>104.18</v>
      </c>
      <c r="E416">
        <v>258.02</v>
      </c>
      <c r="F416">
        <v>520.16999999999996</v>
      </c>
    </row>
    <row r="417" spans="1:6" x14ac:dyDescent="0.25">
      <c r="A417" t="s">
        <v>422</v>
      </c>
      <c r="B417">
        <v>199.04</v>
      </c>
      <c r="C417">
        <v>438.03</v>
      </c>
      <c r="D417">
        <v>102.75</v>
      </c>
      <c r="E417">
        <v>257.04000000000002</v>
      </c>
      <c r="F417">
        <v>509.64</v>
      </c>
    </row>
    <row r="418" spans="1:6" x14ac:dyDescent="0.25">
      <c r="A418" t="s">
        <v>423</v>
      </c>
      <c r="B418">
        <v>196.82</v>
      </c>
      <c r="C418">
        <v>440.64</v>
      </c>
      <c r="D418">
        <v>104.16</v>
      </c>
      <c r="E418">
        <v>258.12</v>
      </c>
      <c r="F418">
        <v>507.01</v>
      </c>
    </row>
    <row r="419" spans="1:6" x14ac:dyDescent="0.25">
      <c r="A419" t="s">
        <v>424</v>
      </c>
      <c r="B419">
        <v>197.21</v>
      </c>
      <c r="C419">
        <v>440.14</v>
      </c>
      <c r="D419">
        <v>103.57</v>
      </c>
      <c r="E419">
        <v>255.1</v>
      </c>
      <c r="F419">
        <v>497.39</v>
      </c>
    </row>
    <row r="420" spans="1:6" x14ac:dyDescent="0.25">
      <c r="A420" t="s">
        <v>425</v>
      </c>
      <c r="B420">
        <v>196.89</v>
      </c>
      <c r="C420">
        <v>422.68</v>
      </c>
      <c r="D420">
        <v>105.41</v>
      </c>
      <c r="E420">
        <v>255.28</v>
      </c>
      <c r="F420">
        <v>502.44</v>
      </c>
    </row>
    <row r="421" spans="1:6" x14ac:dyDescent="0.25">
      <c r="A421" t="s">
        <v>426</v>
      </c>
      <c r="B421">
        <v>194.86</v>
      </c>
      <c r="C421">
        <v>423.2</v>
      </c>
      <c r="D421">
        <v>106.21</v>
      </c>
      <c r="E421">
        <v>251.53</v>
      </c>
      <c r="F421">
        <v>487.86</v>
      </c>
    </row>
    <row r="422" spans="1:6" x14ac:dyDescent="0.25">
      <c r="A422" t="s">
        <v>427</v>
      </c>
      <c r="B422">
        <v>191.78</v>
      </c>
      <c r="C422">
        <v>418.81</v>
      </c>
      <c r="D422">
        <v>105.27</v>
      </c>
      <c r="E422">
        <v>246.78</v>
      </c>
      <c r="F422">
        <v>488.66</v>
      </c>
    </row>
    <row r="423" spans="1:6" x14ac:dyDescent="0.25">
      <c r="A423" t="s">
        <v>428</v>
      </c>
      <c r="B423">
        <v>194.41</v>
      </c>
      <c r="C423">
        <v>420.52</v>
      </c>
      <c r="D423">
        <v>105.45</v>
      </c>
      <c r="E423">
        <v>244.92</v>
      </c>
      <c r="F423">
        <v>520.08000000000004</v>
      </c>
    </row>
    <row r="424" spans="1:6" x14ac:dyDescent="0.25">
      <c r="A424" t="s">
        <v>429</v>
      </c>
      <c r="B424">
        <v>188.55</v>
      </c>
      <c r="C424">
        <v>410.02</v>
      </c>
      <c r="D424">
        <v>103.75</v>
      </c>
      <c r="E424">
        <v>240.18</v>
      </c>
      <c r="F424">
        <v>520.38</v>
      </c>
    </row>
    <row r="425" spans="1:6" x14ac:dyDescent="0.25">
      <c r="A425" t="s">
        <v>430</v>
      </c>
      <c r="B425">
        <v>189.9</v>
      </c>
      <c r="C425">
        <v>411.52</v>
      </c>
      <c r="D425">
        <v>103.35</v>
      </c>
      <c r="E425">
        <v>237.02</v>
      </c>
      <c r="F425">
        <v>517.89</v>
      </c>
    </row>
    <row r="426" spans="1:6" x14ac:dyDescent="0.25">
      <c r="A426" t="s">
        <v>431</v>
      </c>
      <c r="B426">
        <v>190.92</v>
      </c>
      <c r="C426">
        <v>413.26</v>
      </c>
      <c r="D426">
        <v>100.75</v>
      </c>
      <c r="E426">
        <v>232.8</v>
      </c>
      <c r="F426">
        <v>498.32</v>
      </c>
    </row>
    <row r="427" spans="1:6" x14ac:dyDescent="0.25">
      <c r="A427" t="s">
        <v>432</v>
      </c>
      <c r="B427">
        <v>192.82</v>
      </c>
      <c r="C427">
        <v>418.79</v>
      </c>
      <c r="D427">
        <v>101.12</v>
      </c>
      <c r="E427">
        <v>235.97</v>
      </c>
      <c r="F427">
        <v>501.99</v>
      </c>
    </row>
    <row r="428" spans="1:6" x14ac:dyDescent="0.25">
      <c r="A428" t="s">
        <v>433</v>
      </c>
      <c r="B428">
        <v>194.35</v>
      </c>
      <c r="C428">
        <v>416.63</v>
      </c>
      <c r="D428">
        <v>102.84</v>
      </c>
      <c r="E428">
        <v>236.01</v>
      </c>
      <c r="F428">
        <v>492.16</v>
      </c>
    </row>
    <row r="429" spans="1:6" x14ac:dyDescent="0.25">
      <c r="A429" t="s">
        <v>434</v>
      </c>
      <c r="B429">
        <v>195.72</v>
      </c>
      <c r="C429">
        <v>422.04</v>
      </c>
      <c r="D429">
        <v>101.88</v>
      </c>
      <c r="E429">
        <v>233.76</v>
      </c>
      <c r="F429">
        <v>491.6</v>
      </c>
    </row>
    <row r="430" spans="1:6" x14ac:dyDescent="0.25">
      <c r="A430" t="s">
        <v>435</v>
      </c>
      <c r="B430">
        <v>190.67</v>
      </c>
      <c r="C430">
        <v>417.6</v>
      </c>
      <c r="D430">
        <v>102</v>
      </c>
      <c r="E430">
        <v>234.9</v>
      </c>
      <c r="F430">
        <v>490.96</v>
      </c>
    </row>
    <row r="431" spans="1:6" x14ac:dyDescent="0.25">
      <c r="A431" t="s">
        <v>436</v>
      </c>
      <c r="B431">
        <v>188.32</v>
      </c>
      <c r="C431">
        <v>412.9</v>
      </c>
      <c r="D431">
        <v>101.48</v>
      </c>
      <c r="E431">
        <v>231.73</v>
      </c>
      <c r="F431">
        <v>482.84</v>
      </c>
    </row>
    <row r="432" spans="1:6" x14ac:dyDescent="0.25">
      <c r="A432" t="s">
        <v>437</v>
      </c>
      <c r="B432">
        <v>188.2</v>
      </c>
      <c r="C432">
        <v>415.78</v>
      </c>
      <c r="D432">
        <v>101.72</v>
      </c>
      <c r="E432">
        <v>231.45</v>
      </c>
      <c r="F432">
        <v>484.13</v>
      </c>
    </row>
    <row r="433" spans="1:6" x14ac:dyDescent="0.25">
      <c r="A433" t="s">
        <v>438</v>
      </c>
      <c r="B433">
        <v>190.12</v>
      </c>
      <c r="C433">
        <v>419.06</v>
      </c>
      <c r="D433">
        <v>100.01</v>
      </c>
      <c r="E433">
        <v>231.08</v>
      </c>
      <c r="F433">
        <v>485.99</v>
      </c>
    </row>
    <row r="434" spans="1:6" x14ac:dyDescent="0.25">
      <c r="A434" t="s">
        <v>439</v>
      </c>
      <c r="B434">
        <v>191.64</v>
      </c>
      <c r="C434">
        <v>424.68</v>
      </c>
      <c r="D434">
        <v>100.69</v>
      </c>
      <c r="E434">
        <v>232.86</v>
      </c>
      <c r="F434">
        <v>488.08</v>
      </c>
    </row>
    <row r="435" spans="1:6" x14ac:dyDescent="0.25">
      <c r="A435" t="s">
        <v>440</v>
      </c>
      <c r="B435">
        <v>194.46</v>
      </c>
      <c r="C435">
        <v>432.16</v>
      </c>
      <c r="D435">
        <v>100.7</v>
      </c>
      <c r="E435">
        <v>234.77</v>
      </c>
      <c r="F435">
        <v>489.19</v>
      </c>
    </row>
    <row r="436" spans="1:6" x14ac:dyDescent="0.25">
      <c r="A436" t="s">
        <v>441</v>
      </c>
      <c r="B436">
        <v>194.97</v>
      </c>
      <c r="C436">
        <v>433.36</v>
      </c>
      <c r="D436">
        <v>100.61</v>
      </c>
      <c r="E436">
        <v>233.96</v>
      </c>
      <c r="F436">
        <v>484.36</v>
      </c>
    </row>
    <row r="437" spans="1:6" x14ac:dyDescent="0.25">
      <c r="A437" t="s">
        <v>442</v>
      </c>
      <c r="B437">
        <v>193.49</v>
      </c>
      <c r="C437">
        <v>429.34</v>
      </c>
      <c r="D437">
        <v>100.52</v>
      </c>
      <c r="E437">
        <v>230.18</v>
      </c>
      <c r="F437">
        <v>484.59</v>
      </c>
    </row>
    <row r="438" spans="1:6" x14ac:dyDescent="0.25">
      <c r="A438" t="s">
        <v>443</v>
      </c>
      <c r="B438">
        <v>190.29</v>
      </c>
      <c r="C438">
        <v>430.67</v>
      </c>
      <c r="D438">
        <v>100.11</v>
      </c>
      <c r="E438">
        <v>229.42</v>
      </c>
      <c r="F438">
        <v>478.65</v>
      </c>
    </row>
    <row r="439" spans="1:6" x14ac:dyDescent="0.25">
      <c r="A439" t="s">
        <v>444</v>
      </c>
      <c r="B439">
        <v>187.41</v>
      </c>
      <c r="C439">
        <v>431.09</v>
      </c>
      <c r="D439">
        <v>99.77</v>
      </c>
      <c r="E439">
        <v>224.94</v>
      </c>
      <c r="F439">
        <v>468.23</v>
      </c>
    </row>
    <row r="440" spans="1:6" x14ac:dyDescent="0.25">
      <c r="A440" t="s">
        <v>445</v>
      </c>
      <c r="B440">
        <v>187.3</v>
      </c>
      <c r="C440">
        <v>431.45</v>
      </c>
      <c r="D440">
        <v>100.63</v>
      </c>
      <c r="E440">
        <v>222.44</v>
      </c>
      <c r="F440">
        <v>478.25</v>
      </c>
    </row>
    <row r="441" spans="1:6" x14ac:dyDescent="0.25">
      <c r="A441" t="s">
        <v>446</v>
      </c>
      <c r="B441">
        <v>194.28</v>
      </c>
      <c r="C441">
        <v>448.29</v>
      </c>
      <c r="D441">
        <v>102.14</v>
      </c>
      <c r="E441">
        <v>230.15</v>
      </c>
      <c r="F441">
        <v>464.66</v>
      </c>
    </row>
    <row r="442" spans="1:6" x14ac:dyDescent="0.25">
      <c r="A442" t="s">
        <v>447</v>
      </c>
      <c r="B442">
        <v>195.51</v>
      </c>
      <c r="C442">
        <v>445.46</v>
      </c>
      <c r="D442">
        <v>102.57</v>
      </c>
      <c r="E442">
        <v>231.33</v>
      </c>
      <c r="F442">
        <v>477.09</v>
      </c>
    </row>
    <row r="443" spans="1:6" x14ac:dyDescent="0.25">
      <c r="A443" t="s">
        <v>448</v>
      </c>
      <c r="B443">
        <v>188.71</v>
      </c>
      <c r="C443">
        <v>441.2</v>
      </c>
      <c r="D443">
        <v>104.81</v>
      </c>
      <c r="E443">
        <v>231.68</v>
      </c>
      <c r="F443">
        <v>498.12</v>
      </c>
    </row>
    <row r="444" spans="1:6" x14ac:dyDescent="0.25">
      <c r="A444" t="s">
        <v>449</v>
      </c>
      <c r="B444">
        <v>190.84</v>
      </c>
      <c r="C444">
        <v>443.45</v>
      </c>
      <c r="D444">
        <v>105.74</v>
      </c>
      <c r="E444">
        <v>233.21</v>
      </c>
      <c r="F444">
        <v>493.6</v>
      </c>
    </row>
    <row r="445" spans="1:6" x14ac:dyDescent="0.25">
      <c r="A445" t="s">
        <v>450</v>
      </c>
      <c r="B445">
        <v>194.26</v>
      </c>
      <c r="C445">
        <v>442.89</v>
      </c>
      <c r="D445">
        <v>105.83</v>
      </c>
      <c r="E445">
        <v>235.14</v>
      </c>
      <c r="F445">
        <v>510.61</v>
      </c>
    </row>
    <row r="446" spans="1:6" x14ac:dyDescent="0.25">
      <c r="A446" t="s">
        <v>451</v>
      </c>
      <c r="B446">
        <v>184.09</v>
      </c>
      <c r="C446">
        <v>437.31</v>
      </c>
      <c r="D446">
        <v>106.54</v>
      </c>
      <c r="E446">
        <v>234.5</v>
      </c>
      <c r="F446">
        <v>540.91</v>
      </c>
    </row>
    <row r="447" spans="1:6" x14ac:dyDescent="0.25">
      <c r="A447" t="s">
        <v>452</v>
      </c>
      <c r="B447">
        <v>174.35</v>
      </c>
      <c r="C447">
        <v>439.96</v>
      </c>
      <c r="D447">
        <v>106.76</v>
      </c>
      <c r="E447">
        <v>235.41</v>
      </c>
      <c r="F447">
        <v>536.54</v>
      </c>
    </row>
    <row r="448" spans="1:6" x14ac:dyDescent="0.25">
      <c r="A448" t="s">
        <v>453</v>
      </c>
      <c r="B448">
        <v>173.49</v>
      </c>
      <c r="C448">
        <v>437.55</v>
      </c>
      <c r="D448">
        <v>107.39</v>
      </c>
      <c r="E448">
        <v>238.84</v>
      </c>
      <c r="F448">
        <v>524</v>
      </c>
    </row>
    <row r="449" spans="1:6" x14ac:dyDescent="0.25">
      <c r="A449" t="s">
        <v>454</v>
      </c>
      <c r="B449">
        <v>171.44</v>
      </c>
      <c r="C449">
        <v>436.61</v>
      </c>
      <c r="D449">
        <v>108.54</v>
      </c>
      <c r="E449">
        <v>237.03</v>
      </c>
      <c r="F449">
        <v>551.98</v>
      </c>
    </row>
    <row r="450" spans="1:6" x14ac:dyDescent="0.25">
      <c r="A450" t="s">
        <v>455</v>
      </c>
      <c r="B450">
        <v>173.15</v>
      </c>
      <c r="C450">
        <v>431.48</v>
      </c>
      <c r="D450">
        <v>108.07</v>
      </c>
      <c r="E450">
        <v>235.02</v>
      </c>
      <c r="F450">
        <v>582.32000000000005</v>
      </c>
    </row>
    <row r="451" spans="1:6" x14ac:dyDescent="0.25">
      <c r="A451" t="s">
        <v>456</v>
      </c>
      <c r="B451">
        <v>170.15</v>
      </c>
      <c r="C451">
        <v>425.34</v>
      </c>
      <c r="D451">
        <v>111.27</v>
      </c>
      <c r="E451">
        <v>236.39</v>
      </c>
      <c r="F451">
        <v>577.02</v>
      </c>
    </row>
    <row r="452" spans="1:6" x14ac:dyDescent="0.25">
      <c r="A452" t="s">
        <v>457</v>
      </c>
      <c r="B452">
        <v>170.29</v>
      </c>
      <c r="C452">
        <v>425.13</v>
      </c>
      <c r="D452">
        <v>111.44</v>
      </c>
      <c r="E452">
        <v>237.77</v>
      </c>
      <c r="F452">
        <v>580.15</v>
      </c>
    </row>
    <row r="453" spans="1:6" x14ac:dyDescent="0.25">
      <c r="A453" t="s">
        <v>458</v>
      </c>
      <c r="B453">
        <v>167.77</v>
      </c>
      <c r="C453">
        <v>417.71</v>
      </c>
      <c r="D453">
        <v>111.55</v>
      </c>
      <c r="E453">
        <v>241.12</v>
      </c>
      <c r="F453">
        <v>581.76</v>
      </c>
    </row>
    <row r="454" spans="1:6" x14ac:dyDescent="0.25">
      <c r="A454" t="s">
        <v>459</v>
      </c>
      <c r="B454">
        <v>168.05</v>
      </c>
      <c r="C454">
        <v>417.25</v>
      </c>
      <c r="D454">
        <v>111.26</v>
      </c>
      <c r="E454">
        <v>241.19</v>
      </c>
      <c r="F454">
        <v>580.02</v>
      </c>
    </row>
    <row r="455" spans="1:6" x14ac:dyDescent="0.25">
      <c r="A455" t="s">
        <v>460</v>
      </c>
      <c r="B455">
        <v>167.94</v>
      </c>
      <c r="C455">
        <v>422.18</v>
      </c>
      <c r="D455">
        <v>111.56</v>
      </c>
      <c r="E455">
        <v>241.36</v>
      </c>
      <c r="F455">
        <v>578.51</v>
      </c>
    </row>
    <row r="456" spans="1:6" x14ac:dyDescent="0.25">
      <c r="A456" t="s">
        <v>461</v>
      </c>
      <c r="B456">
        <v>166.48</v>
      </c>
      <c r="C456">
        <v>413.1</v>
      </c>
      <c r="D456">
        <v>113.45</v>
      </c>
      <c r="E456">
        <v>241.67</v>
      </c>
      <c r="F456">
        <v>577.59</v>
      </c>
    </row>
    <row r="457" spans="1:6" x14ac:dyDescent="0.25">
      <c r="A457" t="s">
        <v>462</v>
      </c>
      <c r="B457">
        <v>163.61000000000001</v>
      </c>
      <c r="C457">
        <v>411.34</v>
      </c>
      <c r="D457">
        <v>115.17</v>
      </c>
      <c r="E457">
        <v>239.99</v>
      </c>
      <c r="F457">
        <v>563.33000000000004</v>
      </c>
    </row>
    <row r="458" spans="1:6" x14ac:dyDescent="0.25">
      <c r="A458" t="s">
        <v>463</v>
      </c>
      <c r="B458">
        <v>166.46</v>
      </c>
      <c r="C458">
        <v>407.26</v>
      </c>
      <c r="D458">
        <v>115.3</v>
      </c>
      <c r="E458">
        <v>236.33</v>
      </c>
      <c r="F458">
        <v>569.64</v>
      </c>
    </row>
    <row r="459" spans="1:6" x14ac:dyDescent="0.25">
      <c r="A459" t="s">
        <v>464</v>
      </c>
      <c r="B459">
        <v>174.75</v>
      </c>
      <c r="C459">
        <v>409.03</v>
      </c>
      <c r="D459">
        <v>113.78</v>
      </c>
      <c r="E459">
        <v>232.49</v>
      </c>
      <c r="F459">
        <v>572.51</v>
      </c>
    </row>
    <row r="460" spans="1:6" x14ac:dyDescent="0.25">
      <c r="A460" t="s">
        <v>465</v>
      </c>
      <c r="B460">
        <v>176.88</v>
      </c>
      <c r="C460">
        <v>411.29</v>
      </c>
      <c r="D460">
        <v>112.18</v>
      </c>
      <c r="E460">
        <v>234.72</v>
      </c>
      <c r="F460">
        <v>550.1</v>
      </c>
    </row>
    <row r="461" spans="1:6" x14ac:dyDescent="0.25">
      <c r="A461" t="s">
        <v>466</v>
      </c>
      <c r="B461">
        <v>174.08</v>
      </c>
      <c r="C461">
        <v>409.29</v>
      </c>
      <c r="D461">
        <v>113.77</v>
      </c>
      <c r="E461">
        <v>236.59</v>
      </c>
      <c r="F461">
        <v>562.16</v>
      </c>
    </row>
    <row r="462" spans="1:6" x14ac:dyDescent="0.25">
      <c r="A462" t="s">
        <v>467</v>
      </c>
      <c r="B462">
        <v>171.29</v>
      </c>
      <c r="C462">
        <v>408.55</v>
      </c>
      <c r="D462">
        <v>112.82</v>
      </c>
      <c r="E462">
        <v>236.86</v>
      </c>
      <c r="F462">
        <v>564.62</v>
      </c>
    </row>
    <row r="463" spans="1:6" x14ac:dyDescent="0.25">
      <c r="A463" t="s">
        <v>468</v>
      </c>
      <c r="B463">
        <v>174.36</v>
      </c>
      <c r="C463">
        <v>420.25</v>
      </c>
      <c r="D463">
        <v>114</v>
      </c>
      <c r="E463">
        <v>233.54</v>
      </c>
      <c r="F463">
        <v>565.5</v>
      </c>
    </row>
    <row r="464" spans="1:6" x14ac:dyDescent="0.25">
      <c r="A464" t="s">
        <v>469</v>
      </c>
      <c r="B464">
        <v>177.63</v>
      </c>
      <c r="C464">
        <v>418.59</v>
      </c>
      <c r="D464">
        <v>113.93</v>
      </c>
      <c r="E464">
        <v>232.85</v>
      </c>
      <c r="F464">
        <v>577.63</v>
      </c>
    </row>
    <row r="465" spans="1:6" x14ac:dyDescent="0.25">
      <c r="A465" t="s">
        <v>470</v>
      </c>
      <c r="B465">
        <v>180.35</v>
      </c>
      <c r="C465">
        <v>416.45</v>
      </c>
      <c r="D465">
        <v>112.88</v>
      </c>
      <c r="E465">
        <v>231.31</v>
      </c>
      <c r="F465">
        <v>586.02</v>
      </c>
    </row>
    <row r="466" spans="1:6" x14ac:dyDescent="0.25">
      <c r="A466" t="s">
        <v>471</v>
      </c>
      <c r="B466">
        <v>179.09</v>
      </c>
      <c r="C466">
        <v>411.51</v>
      </c>
      <c r="D466">
        <v>112.99</v>
      </c>
      <c r="E466">
        <v>231.05</v>
      </c>
      <c r="F466">
        <v>596.11</v>
      </c>
    </row>
    <row r="467" spans="1:6" x14ac:dyDescent="0.25">
      <c r="A467" t="s">
        <v>472</v>
      </c>
      <c r="B467">
        <v>177.11</v>
      </c>
      <c r="C467">
        <v>415.97</v>
      </c>
      <c r="D467">
        <v>113.59</v>
      </c>
      <c r="E467">
        <v>228.82</v>
      </c>
      <c r="F467">
        <v>587.11</v>
      </c>
    </row>
    <row r="468" spans="1:6" x14ac:dyDescent="0.25">
      <c r="A468" t="s">
        <v>473</v>
      </c>
      <c r="B468">
        <v>179.49</v>
      </c>
      <c r="C468">
        <v>418.81</v>
      </c>
      <c r="D468">
        <v>113.63</v>
      </c>
      <c r="E468">
        <v>228.24</v>
      </c>
      <c r="F468">
        <v>577.23</v>
      </c>
    </row>
    <row r="469" spans="1:6" x14ac:dyDescent="0.25">
      <c r="A469" t="s">
        <v>474</v>
      </c>
      <c r="B469">
        <v>175.28</v>
      </c>
      <c r="C469">
        <v>413.65</v>
      </c>
      <c r="D469">
        <v>113.49</v>
      </c>
      <c r="E469">
        <v>238.55</v>
      </c>
      <c r="F469">
        <v>568.88</v>
      </c>
    </row>
    <row r="470" spans="1:6" x14ac:dyDescent="0.25">
      <c r="A470" t="s">
        <v>475</v>
      </c>
      <c r="B470">
        <v>168.56</v>
      </c>
      <c r="C470">
        <v>405.06</v>
      </c>
      <c r="D470">
        <v>111.58</v>
      </c>
      <c r="E470">
        <v>213.86</v>
      </c>
      <c r="F470">
        <v>540.6</v>
      </c>
    </row>
    <row r="471" spans="1:6" x14ac:dyDescent="0.25">
      <c r="A471" t="s">
        <v>476</v>
      </c>
      <c r="B471">
        <v>168.06</v>
      </c>
      <c r="C471">
        <v>402.11</v>
      </c>
      <c r="D471">
        <v>111.25</v>
      </c>
      <c r="E471">
        <v>212.21</v>
      </c>
      <c r="F471">
        <v>531.77</v>
      </c>
    </row>
    <row r="472" spans="1:6" x14ac:dyDescent="0.25">
      <c r="A472" t="s">
        <v>477</v>
      </c>
      <c r="B472">
        <v>170.1</v>
      </c>
      <c r="C472">
        <v>403.99</v>
      </c>
      <c r="D472">
        <v>107.81</v>
      </c>
      <c r="E472">
        <v>215.26</v>
      </c>
      <c r="F472">
        <v>541.1</v>
      </c>
    </row>
    <row r="473" spans="1:6" x14ac:dyDescent="0.25">
      <c r="A473" t="s">
        <v>478</v>
      </c>
      <c r="B473">
        <v>169.92</v>
      </c>
      <c r="C473">
        <v>400.03</v>
      </c>
      <c r="D473">
        <v>109.53</v>
      </c>
      <c r="E473">
        <v>214.28</v>
      </c>
      <c r="F473">
        <v>538.19000000000005</v>
      </c>
    </row>
    <row r="474" spans="1:6" x14ac:dyDescent="0.25">
      <c r="A474" t="s">
        <v>479</v>
      </c>
      <c r="B474">
        <v>173.24</v>
      </c>
      <c r="C474">
        <v>425.8</v>
      </c>
      <c r="D474">
        <v>109.45</v>
      </c>
      <c r="E474">
        <v>216.68</v>
      </c>
      <c r="F474">
        <v>536.72</v>
      </c>
    </row>
    <row r="475" spans="1:6" x14ac:dyDescent="0.25">
      <c r="A475" t="s">
        <v>480</v>
      </c>
      <c r="B475">
        <v>168.5</v>
      </c>
      <c r="C475">
        <v>425.23</v>
      </c>
      <c r="D475">
        <v>110</v>
      </c>
      <c r="E475">
        <v>215.22</v>
      </c>
      <c r="F475">
        <v>535.92999999999995</v>
      </c>
    </row>
    <row r="476" spans="1:6" x14ac:dyDescent="0.25">
      <c r="A476" t="s">
        <v>481</v>
      </c>
      <c r="B476">
        <v>165.56</v>
      </c>
      <c r="C476">
        <v>419.96</v>
      </c>
      <c r="D476">
        <v>111.52</v>
      </c>
      <c r="E476">
        <v>217.73</v>
      </c>
      <c r="F476">
        <v>538.89</v>
      </c>
    </row>
    <row r="477" spans="1:6" x14ac:dyDescent="0.25">
      <c r="A477" t="s">
        <v>482</v>
      </c>
      <c r="B477">
        <v>164.12</v>
      </c>
      <c r="C477">
        <v>421.49</v>
      </c>
      <c r="D477">
        <v>112.07</v>
      </c>
      <c r="E477">
        <v>214.65</v>
      </c>
      <c r="F477">
        <v>538.24</v>
      </c>
    </row>
    <row r="478" spans="1:6" x14ac:dyDescent="0.25">
      <c r="A478" t="s">
        <v>483</v>
      </c>
      <c r="B478">
        <v>161.59</v>
      </c>
      <c r="C478">
        <v>418.12</v>
      </c>
      <c r="D478">
        <v>112.17</v>
      </c>
      <c r="E478">
        <v>217.23</v>
      </c>
      <c r="F478">
        <v>534.66999999999996</v>
      </c>
    </row>
    <row r="479" spans="1:6" x14ac:dyDescent="0.25">
      <c r="A479" t="s">
        <v>484</v>
      </c>
      <c r="B479">
        <v>161.63999999999999</v>
      </c>
      <c r="C479">
        <v>418</v>
      </c>
      <c r="D479">
        <v>112.8</v>
      </c>
      <c r="E479">
        <v>215.72</v>
      </c>
      <c r="F479">
        <v>538.32000000000005</v>
      </c>
    </row>
    <row r="480" spans="1:6" x14ac:dyDescent="0.25">
      <c r="A480" t="s">
        <v>485</v>
      </c>
      <c r="B480">
        <v>163.99</v>
      </c>
      <c r="C480">
        <v>420.86</v>
      </c>
      <c r="D480">
        <v>113.21</v>
      </c>
      <c r="E480">
        <v>216.4</v>
      </c>
      <c r="F480">
        <v>543.29999999999995</v>
      </c>
    </row>
    <row r="481" spans="1:6" x14ac:dyDescent="0.25">
      <c r="A481" t="s">
        <v>486</v>
      </c>
      <c r="B481">
        <v>162.93</v>
      </c>
      <c r="C481">
        <v>412.27</v>
      </c>
      <c r="D481">
        <v>112.63</v>
      </c>
      <c r="E481">
        <v>215.32</v>
      </c>
      <c r="F481">
        <v>544.83000000000004</v>
      </c>
    </row>
    <row r="482" spans="1:6" x14ac:dyDescent="0.25">
      <c r="A482" t="s">
        <v>487</v>
      </c>
      <c r="B482">
        <v>162.28</v>
      </c>
      <c r="C482">
        <v>411.66</v>
      </c>
      <c r="D482">
        <v>112.56</v>
      </c>
      <c r="E482">
        <v>217.61</v>
      </c>
      <c r="F482">
        <v>543.05999999999995</v>
      </c>
    </row>
    <row r="483" spans="1:6" x14ac:dyDescent="0.25">
      <c r="A483" t="s">
        <v>488</v>
      </c>
      <c r="B483">
        <v>161.79</v>
      </c>
      <c r="C483">
        <v>410.24</v>
      </c>
      <c r="D483">
        <v>112.88</v>
      </c>
      <c r="E483">
        <v>216.69</v>
      </c>
      <c r="F483">
        <v>539.65</v>
      </c>
    </row>
    <row r="484" spans="1:6" x14ac:dyDescent="0.25">
      <c r="A484" t="s">
        <v>489</v>
      </c>
      <c r="B484">
        <v>164.01</v>
      </c>
      <c r="C484">
        <v>409.65</v>
      </c>
      <c r="D484">
        <v>113.17</v>
      </c>
      <c r="E484">
        <v>215.94</v>
      </c>
      <c r="F484">
        <v>544.71</v>
      </c>
    </row>
    <row r="485" spans="1:6" x14ac:dyDescent="0.25">
      <c r="A485" t="s">
        <v>490</v>
      </c>
      <c r="B485">
        <v>164.31</v>
      </c>
      <c r="C485">
        <v>412.23</v>
      </c>
      <c r="D485">
        <v>112.88</v>
      </c>
      <c r="E485">
        <v>214.73</v>
      </c>
      <c r="F485">
        <v>530.36</v>
      </c>
    </row>
    <row r="486" spans="1:6" x14ac:dyDescent="0.25">
      <c r="A486" t="s">
        <v>491</v>
      </c>
      <c r="B486">
        <v>163.81</v>
      </c>
      <c r="C486">
        <v>412.62</v>
      </c>
      <c r="D486">
        <v>116.38</v>
      </c>
      <c r="E486">
        <v>213.85</v>
      </c>
      <c r="F486">
        <v>577.17999999999995</v>
      </c>
    </row>
    <row r="487" spans="1:6" x14ac:dyDescent="0.25">
      <c r="A487" t="s">
        <v>492</v>
      </c>
      <c r="B487">
        <v>162.1</v>
      </c>
      <c r="C487">
        <v>409.85</v>
      </c>
      <c r="D487">
        <v>115.94</v>
      </c>
      <c r="E487">
        <v>214.63</v>
      </c>
      <c r="F487">
        <v>570.16999999999996</v>
      </c>
    </row>
    <row r="488" spans="1:6" x14ac:dyDescent="0.25">
      <c r="A488" t="s">
        <v>493</v>
      </c>
      <c r="B488">
        <v>160.94999999999999</v>
      </c>
      <c r="C488">
        <v>409.37</v>
      </c>
      <c r="D488">
        <v>115.5</v>
      </c>
      <c r="E488">
        <v>205.51</v>
      </c>
      <c r="F488">
        <v>569.84</v>
      </c>
    </row>
    <row r="489" spans="1:6" x14ac:dyDescent="0.25">
      <c r="A489" t="s">
        <v>494</v>
      </c>
      <c r="B489">
        <v>160.72999999999999</v>
      </c>
      <c r="C489">
        <v>410.97</v>
      </c>
      <c r="D489">
        <v>114.51</v>
      </c>
      <c r="E489">
        <v>206.07</v>
      </c>
      <c r="F489">
        <v>563.66</v>
      </c>
    </row>
    <row r="490" spans="1:6" x14ac:dyDescent="0.25">
      <c r="A490" t="s">
        <v>495</v>
      </c>
      <c r="B490">
        <v>163.22999999999999</v>
      </c>
      <c r="C490">
        <v>408.26</v>
      </c>
      <c r="D490">
        <v>114.46</v>
      </c>
      <c r="E490">
        <v>203.49</v>
      </c>
      <c r="F490">
        <v>554.47</v>
      </c>
    </row>
    <row r="491" spans="1:6" x14ac:dyDescent="0.25">
      <c r="A491" t="s">
        <v>496</v>
      </c>
      <c r="B491">
        <v>161.84</v>
      </c>
      <c r="C491">
        <v>403.17</v>
      </c>
      <c r="D491">
        <v>117.59</v>
      </c>
      <c r="E491">
        <v>203.67</v>
      </c>
      <c r="F491">
        <v>556.36</v>
      </c>
    </row>
    <row r="492" spans="1:6" x14ac:dyDescent="0.25">
      <c r="A492" t="s">
        <v>497</v>
      </c>
      <c r="B492">
        <v>165.9</v>
      </c>
      <c r="C492">
        <v>409.59</v>
      </c>
      <c r="D492">
        <v>117.08</v>
      </c>
      <c r="E492">
        <v>203.95</v>
      </c>
      <c r="F492">
        <v>563.64</v>
      </c>
    </row>
    <row r="493" spans="1:6" x14ac:dyDescent="0.25">
      <c r="A493" t="s">
        <v>498</v>
      </c>
      <c r="B493">
        <v>164.7</v>
      </c>
      <c r="C493">
        <v>410.06</v>
      </c>
      <c r="D493">
        <v>114.97</v>
      </c>
      <c r="E493">
        <v>196.95</v>
      </c>
      <c r="F493">
        <v>565.12</v>
      </c>
    </row>
    <row r="494" spans="1:6" x14ac:dyDescent="0.25">
      <c r="A494" t="s">
        <v>499</v>
      </c>
      <c r="B494">
        <v>164.7</v>
      </c>
      <c r="C494">
        <v>410.64</v>
      </c>
      <c r="D494">
        <v>113.98</v>
      </c>
      <c r="E494">
        <v>198.93</v>
      </c>
      <c r="F494">
        <v>564.70000000000005</v>
      </c>
    </row>
    <row r="495" spans="1:6" x14ac:dyDescent="0.25">
      <c r="A495" t="s">
        <v>500</v>
      </c>
      <c r="B495">
        <v>165.83</v>
      </c>
      <c r="C495">
        <v>414.15</v>
      </c>
      <c r="D495">
        <v>112.48</v>
      </c>
      <c r="E495">
        <v>198.69</v>
      </c>
      <c r="F495">
        <v>556.11</v>
      </c>
    </row>
    <row r="496" spans="1:6" x14ac:dyDescent="0.25">
      <c r="A496" t="s">
        <v>501</v>
      </c>
      <c r="B496">
        <v>164.69</v>
      </c>
      <c r="C496">
        <v>423.61</v>
      </c>
      <c r="D496">
        <v>109.94</v>
      </c>
      <c r="E496">
        <v>202.36</v>
      </c>
      <c r="F496">
        <v>557.42999999999995</v>
      </c>
    </row>
    <row r="497" spans="1:6" x14ac:dyDescent="0.25">
      <c r="A497" t="s">
        <v>502</v>
      </c>
      <c r="B497">
        <v>162.81</v>
      </c>
      <c r="C497">
        <v>421.36</v>
      </c>
      <c r="D497">
        <v>108.63</v>
      </c>
      <c r="E497">
        <v>202.01</v>
      </c>
      <c r="F497">
        <v>554.73</v>
      </c>
    </row>
    <row r="498" spans="1:6" x14ac:dyDescent="0.25">
      <c r="A498" t="s">
        <v>503</v>
      </c>
      <c r="B498">
        <v>161.6</v>
      </c>
      <c r="C498">
        <v>424.6</v>
      </c>
      <c r="D498">
        <v>105.8</v>
      </c>
      <c r="E498">
        <v>201.32</v>
      </c>
      <c r="F498">
        <v>548.02</v>
      </c>
    </row>
    <row r="499" spans="1:6" x14ac:dyDescent="0.25">
      <c r="A499" t="s">
        <v>504</v>
      </c>
      <c r="B499">
        <v>160.36000000000001</v>
      </c>
      <c r="C499">
        <v>425.39</v>
      </c>
      <c r="D499">
        <v>107.65</v>
      </c>
      <c r="E499">
        <v>201.71</v>
      </c>
      <c r="F499">
        <v>549.45000000000005</v>
      </c>
    </row>
    <row r="500" spans="1:6" x14ac:dyDescent="0.25">
      <c r="A500" t="s">
        <v>505</v>
      </c>
      <c r="B500">
        <v>161.16</v>
      </c>
      <c r="C500">
        <v>422.5</v>
      </c>
      <c r="D500">
        <v>109.78</v>
      </c>
      <c r="E500">
        <v>203.06</v>
      </c>
      <c r="F500">
        <v>548.38</v>
      </c>
    </row>
    <row r="501" spans="1:6" x14ac:dyDescent="0.25">
      <c r="A501" t="s">
        <v>506</v>
      </c>
      <c r="B501">
        <v>160.72</v>
      </c>
      <c r="C501">
        <v>426.77</v>
      </c>
      <c r="D501">
        <v>110.07</v>
      </c>
      <c r="E501">
        <v>202.91</v>
      </c>
      <c r="F501">
        <v>546.67999999999995</v>
      </c>
    </row>
    <row r="502" spans="1:6" x14ac:dyDescent="0.25">
      <c r="A502" t="s">
        <v>507</v>
      </c>
      <c r="B502">
        <v>162.44999999999999</v>
      </c>
      <c r="C502">
        <v>428.5</v>
      </c>
      <c r="D502">
        <v>108.11</v>
      </c>
      <c r="E502">
        <v>202.58</v>
      </c>
      <c r="F502">
        <v>548.20000000000005</v>
      </c>
    </row>
    <row r="503" spans="1:6" x14ac:dyDescent="0.25">
      <c r="A503" t="s">
        <v>508</v>
      </c>
      <c r="B503">
        <v>161.01</v>
      </c>
      <c r="C503">
        <v>431.87</v>
      </c>
      <c r="D503">
        <v>108.8</v>
      </c>
      <c r="E503">
        <v>201.99</v>
      </c>
      <c r="F503">
        <v>550.16999999999996</v>
      </c>
    </row>
    <row r="504" spans="1:6" x14ac:dyDescent="0.25">
      <c r="A504" t="s">
        <v>509</v>
      </c>
      <c r="B504">
        <v>158.69999999999999</v>
      </c>
      <c r="C504">
        <v>424.11</v>
      </c>
      <c r="D504">
        <v>107.47</v>
      </c>
      <c r="E504">
        <v>199.16</v>
      </c>
      <c r="F504">
        <v>553.58000000000004</v>
      </c>
    </row>
    <row r="505" spans="1:6" x14ac:dyDescent="0.25">
      <c r="A505" t="s">
        <v>510</v>
      </c>
      <c r="B505">
        <v>158.21</v>
      </c>
      <c r="C505">
        <v>428.38</v>
      </c>
      <c r="D505">
        <v>107.09</v>
      </c>
      <c r="E505">
        <v>200.81</v>
      </c>
      <c r="F505">
        <v>551.02</v>
      </c>
    </row>
    <row r="506" spans="1:6" x14ac:dyDescent="0.25">
      <c r="A506" t="s">
        <v>511</v>
      </c>
      <c r="B506">
        <v>156.96</v>
      </c>
      <c r="C506">
        <v>424.63</v>
      </c>
      <c r="D506">
        <v>105.71</v>
      </c>
      <c r="E506">
        <v>199.48</v>
      </c>
      <c r="F506">
        <v>561.67999999999995</v>
      </c>
    </row>
    <row r="507" spans="1:6" x14ac:dyDescent="0.25">
      <c r="A507" t="s">
        <v>512</v>
      </c>
      <c r="B507">
        <v>156.36000000000001</v>
      </c>
      <c r="C507">
        <v>423.89</v>
      </c>
      <c r="D507">
        <v>104.25</v>
      </c>
      <c r="E507">
        <v>196.08</v>
      </c>
      <c r="F507">
        <v>564.61</v>
      </c>
    </row>
    <row r="508" spans="1:6" x14ac:dyDescent="0.25">
      <c r="A508" t="s">
        <v>513</v>
      </c>
      <c r="B508">
        <v>153.61000000000001</v>
      </c>
      <c r="C508">
        <v>420.36</v>
      </c>
      <c r="D508">
        <v>104.32</v>
      </c>
      <c r="E508">
        <v>198.27</v>
      </c>
      <c r="F508">
        <v>559.01</v>
      </c>
    </row>
    <row r="509" spans="1:6" x14ac:dyDescent="0.25">
      <c r="A509" t="s">
        <v>514</v>
      </c>
      <c r="B509">
        <v>150.11000000000001</v>
      </c>
      <c r="C509">
        <v>416.46</v>
      </c>
      <c r="D509">
        <v>102.91</v>
      </c>
      <c r="E509">
        <v>198.87</v>
      </c>
      <c r="F509">
        <v>560.27</v>
      </c>
    </row>
    <row r="510" spans="1:6" x14ac:dyDescent="0.25">
      <c r="A510" t="s">
        <v>515</v>
      </c>
      <c r="B510">
        <v>147.62</v>
      </c>
      <c r="C510">
        <v>407.76</v>
      </c>
      <c r="D510">
        <v>103.94</v>
      </c>
      <c r="E510">
        <v>197.27</v>
      </c>
      <c r="F510">
        <v>569.09</v>
      </c>
    </row>
    <row r="511" spans="1:6" x14ac:dyDescent="0.25">
      <c r="A511" t="s">
        <v>516</v>
      </c>
      <c r="B511">
        <v>147.66999999999999</v>
      </c>
      <c r="C511">
        <v>399.41</v>
      </c>
      <c r="D511">
        <v>107.87</v>
      </c>
      <c r="E511">
        <v>208.07</v>
      </c>
      <c r="F511">
        <v>564.41</v>
      </c>
    </row>
    <row r="512" spans="1:6" x14ac:dyDescent="0.25">
      <c r="A512" t="s">
        <v>517</v>
      </c>
      <c r="B512">
        <v>149.66999999999999</v>
      </c>
      <c r="C512">
        <v>395.45</v>
      </c>
      <c r="D512">
        <v>105.65</v>
      </c>
      <c r="E512">
        <v>203.89</v>
      </c>
      <c r="F512">
        <v>567.04999999999995</v>
      </c>
    </row>
    <row r="513" spans="1:6" x14ac:dyDescent="0.25">
      <c r="A513" t="s">
        <v>518</v>
      </c>
      <c r="B513">
        <v>155.94</v>
      </c>
      <c r="C513">
        <v>402.04</v>
      </c>
      <c r="D513">
        <v>106.14</v>
      </c>
      <c r="E513">
        <v>208.85</v>
      </c>
      <c r="F513">
        <v>565.73</v>
      </c>
    </row>
    <row r="514" spans="1:6" x14ac:dyDescent="0.25">
      <c r="A514" t="s">
        <v>519</v>
      </c>
      <c r="B514">
        <v>155.15</v>
      </c>
      <c r="C514">
        <v>402.54</v>
      </c>
      <c r="D514">
        <v>106.98</v>
      </c>
      <c r="E514">
        <v>210.49</v>
      </c>
      <c r="F514">
        <v>573.98</v>
      </c>
    </row>
    <row r="515" spans="1:6" x14ac:dyDescent="0.25">
      <c r="A515" t="s">
        <v>520</v>
      </c>
      <c r="B515">
        <v>156.06</v>
      </c>
      <c r="C515">
        <v>403.07</v>
      </c>
      <c r="D515">
        <v>108.3</v>
      </c>
      <c r="E515">
        <v>211.42</v>
      </c>
      <c r="F515">
        <v>568.76</v>
      </c>
    </row>
    <row r="516" spans="1:6" x14ac:dyDescent="0.25">
      <c r="A516" t="s">
        <v>521</v>
      </c>
      <c r="B516">
        <v>162.03</v>
      </c>
      <c r="C516">
        <v>410.65</v>
      </c>
      <c r="D516">
        <v>110.62</v>
      </c>
      <c r="E516">
        <v>215.74</v>
      </c>
      <c r="F516">
        <v>560.70000000000005</v>
      </c>
    </row>
    <row r="517" spans="1:6" x14ac:dyDescent="0.25">
      <c r="A517" t="s">
        <v>522</v>
      </c>
      <c r="B517">
        <v>160.44</v>
      </c>
      <c r="C517">
        <v>406.7</v>
      </c>
      <c r="D517">
        <v>110.8</v>
      </c>
      <c r="E517">
        <v>213.25</v>
      </c>
      <c r="F517">
        <v>562</v>
      </c>
    </row>
    <row r="518" spans="1:6" x14ac:dyDescent="0.25">
      <c r="A518" t="s">
        <v>523</v>
      </c>
      <c r="B518">
        <v>161.5</v>
      </c>
      <c r="C518">
        <v>404.21</v>
      </c>
      <c r="D518">
        <v>109.29</v>
      </c>
      <c r="E518">
        <v>212.37</v>
      </c>
      <c r="F518">
        <v>559.12</v>
      </c>
    </row>
    <row r="519" spans="1:6" x14ac:dyDescent="0.25">
      <c r="A519" t="s">
        <v>524</v>
      </c>
      <c r="B519">
        <v>163.31</v>
      </c>
      <c r="C519">
        <v>407.4</v>
      </c>
      <c r="D519">
        <v>110.37</v>
      </c>
      <c r="E519">
        <v>211.3</v>
      </c>
      <c r="F519">
        <v>557.99</v>
      </c>
    </row>
    <row r="520" spans="1:6" x14ac:dyDescent="0.25">
      <c r="A520" t="s">
        <v>525</v>
      </c>
      <c r="B520">
        <v>164.78</v>
      </c>
      <c r="C520">
        <v>407.06</v>
      </c>
      <c r="D520">
        <v>111.43</v>
      </c>
      <c r="E520">
        <v>210.33</v>
      </c>
      <c r="F520">
        <v>557.78</v>
      </c>
    </row>
    <row r="521" spans="1:6" x14ac:dyDescent="0.25">
      <c r="A521" t="s">
        <v>526</v>
      </c>
      <c r="B521">
        <v>164.25</v>
      </c>
      <c r="C521">
        <v>410.31</v>
      </c>
      <c r="D521">
        <v>109.1</v>
      </c>
      <c r="E521">
        <v>209.51</v>
      </c>
      <c r="F521">
        <v>555.29999999999995</v>
      </c>
    </row>
    <row r="522" spans="1:6" x14ac:dyDescent="0.25">
      <c r="A522" t="s">
        <v>527</v>
      </c>
      <c r="B522">
        <v>162.44</v>
      </c>
      <c r="C522">
        <v>409.09</v>
      </c>
      <c r="D522">
        <v>107.61</v>
      </c>
      <c r="E522">
        <v>207.9</v>
      </c>
      <c r="F522">
        <v>549.79</v>
      </c>
    </row>
    <row r="523" spans="1:6" x14ac:dyDescent="0.25">
      <c r="A523" t="s">
        <v>528</v>
      </c>
      <c r="B523">
        <v>164.48</v>
      </c>
      <c r="C523">
        <v>417.54</v>
      </c>
      <c r="D523">
        <v>106.78</v>
      </c>
      <c r="E523">
        <v>205.95</v>
      </c>
      <c r="F523">
        <v>549.17999999999995</v>
      </c>
    </row>
    <row r="524" spans="1:6" x14ac:dyDescent="0.25">
      <c r="A524" t="s">
        <v>529</v>
      </c>
      <c r="B524">
        <v>165.79</v>
      </c>
      <c r="C524">
        <v>418.19</v>
      </c>
      <c r="D524">
        <v>107.47</v>
      </c>
      <c r="E524">
        <v>205.87</v>
      </c>
      <c r="F524">
        <v>551.63</v>
      </c>
    </row>
    <row r="525" spans="1:6" x14ac:dyDescent="0.25">
      <c r="A525" t="s">
        <v>530</v>
      </c>
      <c r="B525">
        <v>165.29</v>
      </c>
      <c r="C525">
        <v>414.97</v>
      </c>
      <c r="D525">
        <v>111.17</v>
      </c>
      <c r="E525">
        <v>206.76</v>
      </c>
      <c r="F525">
        <v>549.85</v>
      </c>
    </row>
    <row r="526" spans="1:6" x14ac:dyDescent="0.25">
      <c r="A526" t="s">
        <v>531</v>
      </c>
      <c r="B526">
        <v>161.61000000000001</v>
      </c>
      <c r="C526">
        <v>411.96</v>
      </c>
      <c r="D526">
        <v>110.83</v>
      </c>
      <c r="E526">
        <v>205.34</v>
      </c>
      <c r="F526">
        <v>548.80999999999995</v>
      </c>
    </row>
    <row r="527" spans="1:6" x14ac:dyDescent="0.25">
      <c r="A527" t="s">
        <v>532</v>
      </c>
      <c r="B527">
        <v>159.96</v>
      </c>
      <c r="C527">
        <v>414.48</v>
      </c>
      <c r="D527">
        <v>111.36</v>
      </c>
      <c r="E527">
        <v>203.02</v>
      </c>
      <c r="F527">
        <v>550.64</v>
      </c>
    </row>
    <row r="528" spans="1:6" x14ac:dyDescent="0.25">
      <c r="A528" t="s">
        <v>533</v>
      </c>
      <c r="B528">
        <v>159.04</v>
      </c>
      <c r="C528">
        <v>409.64</v>
      </c>
      <c r="D528">
        <v>110.67</v>
      </c>
      <c r="E528">
        <v>201.76</v>
      </c>
      <c r="F528">
        <v>550.70000000000005</v>
      </c>
    </row>
    <row r="529" spans="1:6" x14ac:dyDescent="0.25">
      <c r="A529" t="s">
        <v>534</v>
      </c>
      <c r="B529">
        <v>162.80000000000001</v>
      </c>
      <c r="C529">
        <v>406.84</v>
      </c>
      <c r="D529">
        <v>109.66</v>
      </c>
      <c r="E529">
        <v>199.56</v>
      </c>
      <c r="F529">
        <v>545.54</v>
      </c>
    </row>
    <row r="530" spans="1:6" x14ac:dyDescent="0.25">
      <c r="A530" t="s">
        <v>535</v>
      </c>
      <c r="B530">
        <v>160.94</v>
      </c>
      <c r="C530">
        <v>399.76</v>
      </c>
      <c r="D530">
        <v>110.72</v>
      </c>
      <c r="E530">
        <v>197.88</v>
      </c>
      <c r="F530">
        <v>537.04</v>
      </c>
    </row>
    <row r="531" spans="1:6" x14ac:dyDescent="0.25">
      <c r="A531" t="s">
        <v>536</v>
      </c>
      <c r="B531">
        <v>162.31</v>
      </c>
      <c r="C531">
        <v>398.99</v>
      </c>
      <c r="D531">
        <v>110.58</v>
      </c>
      <c r="E531">
        <v>197.5</v>
      </c>
      <c r="F531">
        <v>530.83000000000004</v>
      </c>
    </row>
    <row r="532" spans="1:6" x14ac:dyDescent="0.25">
      <c r="A532" t="s">
        <v>537</v>
      </c>
      <c r="B532">
        <v>160.69</v>
      </c>
      <c r="C532">
        <v>395.71</v>
      </c>
      <c r="D532">
        <v>109.69</v>
      </c>
      <c r="E532">
        <v>195.83</v>
      </c>
      <c r="F532">
        <v>537.94000000000005</v>
      </c>
    </row>
    <row r="533" spans="1:6" x14ac:dyDescent="0.25">
      <c r="A533" t="s">
        <v>538</v>
      </c>
      <c r="B533">
        <v>157.62</v>
      </c>
      <c r="C533">
        <v>391.53</v>
      </c>
      <c r="D533">
        <v>107.63</v>
      </c>
      <c r="E533">
        <v>192.32</v>
      </c>
      <c r="F533">
        <v>537.79</v>
      </c>
    </row>
    <row r="534" spans="1:6" x14ac:dyDescent="0.25">
      <c r="A534" t="s">
        <v>539</v>
      </c>
      <c r="B534">
        <v>156.97999999999999</v>
      </c>
      <c r="C534">
        <v>392.69</v>
      </c>
      <c r="D534">
        <v>106.22</v>
      </c>
      <c r="E534">
        <v>192.26</v>
      </c>
      <c r="F534">
        <v>539.94000000000005</v>
      </c>
    </row>
    <row r="535" spans="1:6" x14ac:dyDescent="0.25">
      <c r="A535" t="s">
        <v>540</v>
      </c>
      <c r="B535">
        <v>157.93</v>
      </c>
      <c r="C535">
        <v>388.31</v>
      </c>
      <c r="D535">
        <v>106.79</v>
      </c>
      <c r="E535">
        <v>187.04</v>
      </c>
      <c r="F535">
        <v>541.47</v>
      </c>
    </row>
    <row r="536" spans="1:6" x14ac:dyDescent="0.25">
      <c r="A536" t="s">
        <v>541</v>
      </c>
      <c r="B536">
        <v>165.28</v>
      </c>
      <c r="C536">
        <v>401.41</v>
      </c>
      <c r="D536">
        <v>108.75</v>
      </c>
      <c r="E536">
        <v>191.11</v>
      </c>
      <c r="F536">
        <v>560.35</v>
      </c>
    </row>
    <row r="537" spans="1:6" x14ac:dyDescent="0.25">
      <c r="A537" t="s">
        <v>542</v>
      </c>
      <c r="B537">
        <v>169.34</v>
      </c>
      <c r="C537">
        <v>409.88</v>
      </c>
      <c r="D537">
        <v>108.81</v>
      </c>
      <c r="E537">
        <v>199.57</v>
      </c>
      <c r="F537">
        <v>544.14</v>
      </c>
    </row>
    <row r="538" spans="1:6" x14ac:dyDescent="0.25">
      <c r="A538" t="s">
        <v>543</v>
      </c>
      <c r="B538">
        <v>170.12</v>
      </c>
      <c r="C538">
        <v>411.1</v>
      </c>
      <c r="D538">
        <v>110.34</v>
      </c>
      <c r="E538">
        <v>204.22</v>
      </c>
      <c r="F538">
        <v>547.36</v>
      </c>
    </row>
    <row r="539" spans="1:6" x14ac:dyDescent="0.25">
      <c r="A539" t="s">
        <v>544</v>
      </c>
      <c r="B539">
        <v>168.88</v>
      </c>
      <c r="C539">
        <v>415.59</v>
      </c>
      <c r="D539">
        <v>109.95</v>
      </c>
      <c r="E539">
        <v>206.51</v>
      </c>
      <c r="F539">
        <v>547.52</v>
      </c>
    </row>
    <row r="540" spans="1:6" x14ac:dyDescent="0.25">
      <c r="A540" t="s">
        <v>545</v>
      </c>
      <c r="B540">
        <v>168.12</v>
      </c>
      <c r="C540">
        <v>419.34</v>
      </c>
      <c r="D540">
        <v>108.02</v>
      </c>
      <c r="E540">
        <v>202.35</v>
      </c>
      <c r="F540">
        <v>538.41999999999996</v>
      </c>
    </row>
    <row r="541" spans="1:6" x14ac:dyDescent="0.25">
      <c r="A541" t="s">
        <v>546</v>
      </c>
      <c r="B541">
        <v>165.62</v>
      </c>
      <c r="C541">
        <v>417.9</v>
      </c>
      <c r="D541">
        <v>109.17</v>
      </c>
      <c r="E541">
        <v>203.68</v>
      </c>
      <c r="F541">
        <v>541.24</v>
      </c>
    </row>
    <row r="542" spans="1:6" x14ac:dyDescent="0.25">
      <c r="A542" t="s">
        <v>547</v>
      </c>
      <c r="B542">
        <v>165.89</v>
      </c>
      <c r="C542">
        <v>411.15</v>
      </c>
      <c r="D542">
        <v>109.26</v>
      </c>
      <c r="E542">
        <v>200.26</v>
      </c>
      <c r="F542">
        <v>531.71</v>
      </c>
    </row>
    <row r="543" spans="1:6" x14ac:dyDescent="0.25">
      <c r="A543" t="s">
        <v>548</v>
      </c>
      <c r="B543">
        <v>171.2</v>
      </c>
      <c r="C543">
        <v>421.47</v>
      </c>
      <c r="D543">
        <v>107.01</v>
      </c>
      <c r="E543">
        <v>200.18</v>
      </c>
      <c r="F543">
        <v>531.77</v>
      </c>
    </row>
    <row r="544" spans="1:6" x14ac:dyDescent="0.25">
      <c r="A544" t="s">
        <v>549</v>
      </c>
      <c r="B544">
        <v>180.28</v>
      </c>
      <c r="C544">
        <v>437.14</v>
      </c>
      <c r="D544">
        <v>105.52</v>
      </c>
      <c r="E544">
        <v>201.85</v>
      </c>
      <c r="F544">
        <v>526.98</v>
      </c>
    </row>
    <row r="545" spans="1:6" x14ac:dyDescent="0.25">
      <c r="A545" t="s">
        <v>550</v>
      </c>
      <c r="B545">
        <v>180.16</v>
      </c>
      <c r="C545">
        <v>435.27</v>
      </c>
      <c r="D545">
        <v>107.25</v>
      </c>
      <c r="E545">
        <v>201.8</v>
      </c>
      <c r="F545">
        <v>530.61</v>
      </c>
    </row>
    <row r="546" spans="1:6" x14ac:dyDescent="0.25">
      <c r="A546" t="s">
        <v>551</v>
      </c>
      <c r="B546">
        <v>176.19</v>
      </c>
      <c r="C546">
        <v>429.54</v>
      </c>
      <c r="D546">
        <v>108</v>
      </c>
      <c r="E546">
        <v>201.32</v>
      </c>
      <c r="F546">
        <v>537.07000000000005</v>
      </c>
    </row>
    <row r="547" spans="1:6" x14ac:dyDescent="0.25">
      <c r="A547" t="s">
        <v>552</v>
      </c>
      <c r="B547">
        <v>176.22</v>
      </c>
      <c r="C547">
        <v>432.74</v>
      </c>
      <c r="D547">
        <v>110.54</v>
      </c>
      <c r="E547">
        <v>201.51</v>
      </c>
      <c r="F547">
        <v>536.13</v>
      </c>
    </row>
    <row r="548" spans="1:6" x14ac:dyDescent="0.25">
      <c r="A548" t="s">
        <v>553</v>
      </c>
      <c r="B548">
        <v>179.52</v>
      </c>
      <c r="C548">
        <v>435.84</v>
      </c>
      <c r="D548">
        <v>109.46</v>
      </c>
      <c r="E548">
        <v>208.13</v>
      </c>
      <c r="F548">
        <v>544.63</v>
      </c>
    </row>
    <row r="549" spans="1:6" x14ac:dyDescent="0.25">
      <c r="A549" t="s">
        <v>554</v>
      </c>
      <c r="B549">
        <v>182.4</v>
      </c>
      <c r="C549">
        <v>441.73</v>
      </c>
      <c r="D549">
        <v>107.97</v>
      </c>
      <c r="E549">
        <v>205.01</v>
      </c>
      <c r="F549">
        <v>521.44000000000005</v>
      </c>
    </row>
    <row r="550" spans="1:6" x14ac:dyDescent="0.25">
      <c r="A550" t="s">
        <v>555</v>
      </c>
      <c r="B550">
        <v>184.98</v>
      </c>
      <c r="C550">
        <v>446.1</v>
      </c>
      <c r="D550">
        <v>107.19</v>
      </c>
      <c r="E550">
        <v>201.58</v>
      </c>
      <c r="F550">
        <v>489.61</v>
      </c>
    </row>
    <row r="551" spans="1:6" x14ac:dyDescent="0.25">
      <c r="A551" t="s">
        <v>556</v>
      </c>
      <c r="B551">
        <v>183.54</v>
      </c>
      <c r="C551">
        <v>445.69</v>
      </c>
      <c r="D551">
        <v>105.39</v>
      </c>
      <c r="E551">
        <v>196.68</v>
      </c>
      <c r="F551">
        <v>485.96</v>
      </c>
    </row>
    <row r="552" spans="1:6" x14ac:dyDescent="0.25">
      <c r="A552" t="s">
        <v>557</v>
      </c>
      <c r="B552">
        <v>184.03</v>
      </c>
      <c r="C552">
        <v>446.82</v>
      </c>
      <c r="D552">
        <v>105.37</v>
      </c>
      <c r="E552">
        <v>199.09</v>
      </c>
      <c r="F552">
        <v>479.15</v>
      </c>
    </row>
    <row r="553" spans="1:6" x14ac:dyDescent="0.25">
      <c r="A553" t="s">
        <v>558</v>
      </c>
      <c r="B553">
        <v>189.6</v>
      </c>
      <c r="C553">
        <v>458.17</v>
      </c>
      <c r="D553">
        <v>104.13</v>
      </c>
      <c r="E553">
        <v>199.42</v>
      </c>
      <c r="F553">
        <v>475.89</v>
      </c>
    </row>
    <row r="554" spans="1:6" x14ac:dyDescent="0.25">
      <c r="A554" t="s">
        <v>559</v>
      </c>
      <c r="B554">
        <v>187.41</v>
      </c>
      <c r="C554">
        <v>451.58</v>
      </c>
      <c r="D554">
        <v>103.22</v>
      </c>
      <c r="E554">
        <v>199.26</v>
      </c>
      <c r="F554">
        <v>467.51</v>
      </c>
    </row>
    <row r="555" spans="1:6" x14ac:dyDescent="0.25">
      <c r="A555" t="s">
        <v>560</v>
      </c>
      <c r="B555">
        <v>187.46</v>
      </c>
      <c r="C555">
        <v>458.16</v>
      </c>
      <c r="D555">
        <v>104.38</v>
      </c>
      <c r="E555">
        <v>196.9</v>
      </c>
      <c r="F555">
        <v>464.88</v>
      </c>
    </row>
    <row r="556" spans="1:6" x14ac:dyDescent="0.25">
      <c r="A556" t="s">
        <v>561</v>
      </c>
      <c r="B556">
        <v>189.02</v>
      </c>
      <c r="C556">
        <v>459.46</v>
      </c>
      <c r="D556">
        <v>105.48</v>
      </c>
      <c r="E556">
        <v>196.53</v>
      </c>
      <c r="F556">
        <v>463.62</v>
      </c>
    </row>
    <row r="557" spans="1:6" x14ac:dyDescent="0.25">
      <c r="A557" t="s">
        <v>562</v>
      </c>
      <c r="B557">
        <v>184.28</v>
      </c>
      <c r="C557">
        <v>452.79</v>
      </c>
      <c r="D557">
        <v>106.78</v>
      </c>
      <c r="E557">
        <v>199.17</v>
      </c>
      <c r="F557">
        <v>465.4</v>
      </c>
    </row>
    <row r="558" spans="1:6" x14ac:dyDescent="0.25">
      <c r="A558" t="s">
        <v>563</v>
      </c>
      <c r="B558">
        <v>183.7</v>
      </c>
      <c r="C558">
        <v>451.32</v>
      </c>
      <c r="D558">
        <v>106.24</v>
      </c>
      <c r="E558">
        <v>199.31</v>
      </c>
      <c r="F558">
        <v>473.34</v>
      </c>
    </row>
    <row r="559" spans="1:6" x14ac:dyDescent="0.25">
      <c r="A559" t="s">
        <v>564</v>
      </c>
      <c r="B559">
        <v>181.47</v>
      </c>
      <c r="C559">
        <v>448.82</v>
      </c>
      <c r="D559">
        <v>106.96</v>
      </c>
      <c r="E559">
        <v>196.08</v>
      </c>
      <c r="F559">
        <v>469.93</v>
      </c>
    </row>
    <row r="560" spans="1:6" x14ac:dyDescent="0.25">
      <c r="A560" t="s">
        <v>565</v>
      </c>
      <c r="B560">
        <v>180.64</v>
      </c>
      <c r="C560">
        <v>439.21</v>
      </c>
      <c r="D560">
        <v>107.11</v>
      </c>
      <c r="E560">
        <v>193.03</v>
      </c>
      <c r="F560">
        <v>483.81</v>
      </c>
    </row>
    <row r="561" spans="1:6" x14ac:dyDescent="0.25">
      <c r="A561" t="s">
        <v>566</v>
      </c>
      <c r="B561">
        <v>183.87</v>
      </c>
      <c r="C561">
        <v>445.01</v>
      </c>
      <c r="D561">
        <v>106.91</v>
      </c>
      <c r="E561">
        <v>190.09</v>
      </c>
      <c r="F561">
        <v>462.13</v>
      </c>
    </row>
    <row r="562" spans="1:6" x14ac:dyDescent="0.25">
      <c r="A562" t="s">
        <v>567</v>
      </c>
      <c r="B562">
        <v>182.36</v>
      </c>
      <c r="C562">
        <v>444.33</v>
      </c>
      <c r="D562">
        <v>106.45</v>
      </c>
      <c r="E562">
        <v>188.43</v>
      </c>
      <c r="F562">
        <v>459.85</v>
      </c>
    </row>
    <row r="563" spans="1:6" x14ac:dyDescent="0.25">
      <c r="A563" t="s">
        <v>568</v>
      </c>
      <c r="B563">
        <v>182.5</v>
      </c>
      <c r="C563">
        <v>443.14</v>
      </c>
      <c r="D563">
        <v>106.41</v>
      </c>
      <c r="E563">
        <v>189.04</v>
      </c>
      <c r="F563">
        <v>460.28</v>
      </c>
    </row>
    <row r="564" spans="1:6" x14ac:dyDescent="0.25">
      <c r="A564" t="s">
        <v>569</v>
      </c>
      <c r="B564">
        <v>177.73</v>
      </c>
      <c r="C564">
        <v>439.92</v>
      </c>
      <c r="D564">
        <v>106.12</v>
      </c>
      <c r="E564">
        <v>189.81</v>
      </c>
      <c r="F564">
        <v>465.49</v>
      </c>
    </row>
    <row r="565" spans="1:6" x14ac:dyDescent="0.25">
      <c r="A565" t="s">
        <v>570</v>
      </c>
      <c r="B565">
        <v>178.14</v>
      </c>
      <c r="C565">
        <v>441.99</v>
      </c>
      <c r="D565">
        <v>103.05</v>
      </c>
      <c r="E565">
        <v>187.35</v>
      </c>
      <c r="F565">
        <v>458.47</v>
      </c>
    </row>
    <row r="566" spans="1:6" x14ac:dyDescent="0.25">
      <c r="A566" t="s">
        <v>571</v>
      </c>
      <c r="B566">
        <v>174.84</v>
      </c>
      <c r="C566">
        <v>437.98</v>
      </c>
      <c r="D566">
        <v>103.97</v>
      </c>
      <c r="E566">
        <v>189.61</v>
      </c>
      <c r="F566">
        <v>460.3</v>
      </c>
    </row>
    <row r="567" spans="1:6" x14ac:dyDescent="0.25">
      <c r="A567" t="s">
        <v>572</v>
      </c>
      <c r="B567">
        <v>173.64</v>
      </c>
      <c r="C567">
        <v>438.61</v>
      </c>
      <c r="D567">
        <v>101.77</v>
      </c>
      <c r="E567">
        <v>188.01</v>
      </c>
      <c r="F567">
        <v>457.01</v>
      </c>
    </row>
    <row r="568" spans="1:6" x14ac:dyDescent="0.25">
      <c r="A568" t="s">
        <v>573</v>
      </c>
      <c r="B568">
        <v>175.77</v>
      </c>
      <c r="C568">
        <v>440.6</v>
      </c>
      <c r="D568">
        <v>100.82</v>
      </c>
      <c r="E568">
        <v>186.09</v>
      </c>
      <c r="F568">
        <v>464.78</v>
      </c>
    </row>
    <row r="569" spans="1:6" x14ac:dyDescent="0.25">
      <c r="A569" t="s">
        <v>574</v>
      </c>
      <c r="B569">
        <v>175.32</v>
      </c>
      <c r="C569">
        <v>434.9</v>
      </c>
      <c r="D569">
        <v>101.52</v>
      </c>
      <c r="E569">
        <v>184.94</v>
      </c>
      <c r="F569">
        <v>470.28</v>
      </c>
    </row>
    <row r="570" spans="1:6" x14ac:dyDescent="0.25">
      <c r="A570" t="s">
        <v>575</v>
      </c>
      <c r="B570">
        <v>173.71</v>
      </c>
      <c r="C570">
        <v>433.93</v>
      </c>
      <c r="D570">
        <v>102.38</v>
      </c>
      <c r="E570">
        <v>184.83</v>
      </c>
      <c r="F570">
        <v>470.45</v>
      </c>
    </row>
    <row r="571" spans="1:6" x14ac:dyDescent="0.25">
      <c r="A571" t="s">
        <v>576</v>
      </c>
      <c r="B571">
        <v>176.32</v>
      </c>
      <c r="C571">
        <v>433.42</v>
      </c>
      <c r="D571">
        <v>103.21</v>
      </c>
      <c r="E571">
        <v>182.79</v>
      </c>
      <c r="F571">
        <v>466.45</v>
      </c>
    </row>
    <row r="572" spans="1:6" x14ac:dyDescent="0.25">
      <c r="A572" t="s">
        <v>577</v>
      </c>
      <c r="B572">
        <v>175.16</v>
      </c>
      <c r="C572">
        <v>425.18</v>
      </c>
      <c r="D572">
        <v>104.37</v>
      </c>
      <c r="E572">
        <v>185.5</v>
      </c>
      <c r="F572">
        <v>469.43</v>
      </c>
    </row>
    <row r="573" spans="1:6" x14ac:dyDescent="0.25">
      <c r="A573" t="s">
        <v>578</v>
      </c>
      <c r="B573">
        <v>173.56</v>
      </c>
      <c r="C573">
        <v>420.46</v>
      </c>
      <c r="D573">
        <v>105.21</v>
      </c>
      <c r="E573">
        <v>190.51</v>
      </c>
      <c r="F573">
        <v>468.27</v>
      </c>
    </row>
    <row r="574" spans="1:6" x14ac:dyDescent="0.25">
      <c r="A574" t="s">
        <v>579</v>
      </c>
      <c r="B574">
        <v>172.82</v>
      </c>
      <c r="C574">
        <v>416.51</v>
      </c>
      <c r="D574">
        <v>104.91</v>
      </c>
      <c r="E574">
        <v>190.83</v>
      </c>
      <c r="F574">
        <v>464.2</v>
      </c>
    </row>
    <row r="575" spans="1:6" x14ac:dyDescent="0.25">
      <c r="A575" t="s">
        <v>580</v>
      </c>
      <c r="B575">
        <v>175.06</v>
      </c>
      <c r="C575">
        <v>417.17</v>
      </c>
      <c r="D575">
        <v>106.04</v>
      </c>
      <c r="E575">
        <v>187.93</v>
      </c>
      <c r="F575">
        <v>474.82</v>
      </c>
    </row>
    <row r="576" spans="1:6" x14ac:dyDescent="0.25">
      <c r="A576" t="s">
        <v>581</v>
      </c>
      <c r="B576">
        <v>173.76</v>
      </c>
      <c r="C576">
        <v>416.67</v>
      </c>
      <c r="D576">
        <v>105.25</v>
      </c>
      <c r="E576">
        <v>188.26</v>
      </c>
      <c r="F576">
        <v>475.95</v>
      </c>
    </row>
    <row r="577" spans="1:6" x14ac:dyDescent="0.25">
      <c r="A577" t="s">
        <v>582</v>
      </c>
      <c r="B577">
        <v>172.15</v>
      </c>
      <c r="C577">
        <v>408.86</v>
      </c>
      <c r="D577">
        <v>104.83</v>
      </c>
      <c r="E577">
        <v>190.08</v>
      </c>
      <c r="F577">
        <v>478.2</v>
      </c>
    </row>
    <row r="578" spans="1:6" x14ac:dyDescent="0.25">
      <c r="A578" t="s">
        <v>583</v>
      </c>
      <c r="B578">
        <v>171.54</v>
      </c>
      <c r="C578">
        <v>406.36</v>
      </c>
      <c r="D578">
        <v>106.49</v>
      </c>
      <c r="E578">
        <v>192.61</v>
      </c>
      <c r="F578">
        <v>470.58</v>
      </c>
    </row>
    <row r="579" spans="1:6" x14ac:dyDescent="0.25">
      <c r="A579" t="s">
        <v>584</v>
      </c>
      <c r="B579">
        <v>170.87</v>
      </c>
      <c r="C579">
        <v>407.94</v>
      </c>
      <c r="D579">
        <v>109.1</v>
      </c>
      <c r="E579">
        <v>193.39</v>
      </c>
      <c r="F579">
        <v>468.62</v>
      </c>
    </row>
    <row r="580" spans="1:6" x14ac:dyDescent="0.25">
      <c r="A580" t="s">
        <v>585</v>
      </c>
      <c r="B580">
        <v>170.49</v>
      </c>
      <c r="C580">
        <v>407.49</v>
      </c>
      <c r="D580">
        <v>106.06</v>
      </c>
      <c r="E580">
        <v>190.24</v>
      </c>
      <c r="F580">
        <v>455.64</v>
      </c>
    </row>
    <row r="581" spans="1:6" x14ac:dyDescent="0.25">
      <c r="A581" t="s">
        <v>586</v>
      </c>
      <c r="B581">
        <v>174.24</v>
      </c>
      <c r="C581">
        <v>421.74</v>
      </c>
      <c r="D581">
        <v>105.72</v>
      </c>
      <c r="E581">
        <v>189.07</v>
      </c>
      <c r="F581">
        <v>458.55</v>
      </c>
    </row>
    <row r="582" spans="1:6" x14ac:dyDescent="0.25">
      <c r="A582" t="s">
        <v>587</v>
      </c>
      <c r="B582">
        <v>174.74</v>
      </c>
      <c r="C582">
        <v>422.87</v>
      </c>
      <c r="D582">
        <v>106.87</v>
      </c>
      <c r="E582">
        <v>190.4</v>
      </c>
      <c r="F582">
        <v>476.48</v>
      </c>
    </row>
    <row r="583" spans="1:6" x14ac:dyDescent="0.25">
      <c r="A583" t="s">
        <v>588</v>
      </c>
      <c r="B583">
        <v>173.34</v>
      </c>
      <c r="C583">
        <v>422.71</v>
      </c>
      <c r="D583">
        <v>105.53</v>
      </c>
      <c r="E583">
        <v>191.56</v>
      </c>
      <c r="F583">
        <v>480.73</v>
      </c>
    </row>
    <row r="584" spans="1:6" x14ac:dyDescent="0.25">
      <c r="A584" t="s">
        <v>589</v>
      </c>
      <c r="B584">
        <v>171.91</v>
      </c>
      <c r="C584">
        <v>419.6</v>
      </c>
      <c r="D584">
        <v>105.61</v>
      </c>
      <c r="E584">
        <v>187.94</v>
      </c>
      <c r="F584">
        <v>488.92</v>
      </c>
    </row>
    <row r="585" spans="1:6" x14ac:dyDescent="0.25">
      <c r="A585" t="s">
        <v>590</v>
      </c>
      <c r="B585">
        <v>174.72</v>
      </c>
      <c r="C585">
        <v>423.06</v>
      </c>
      <c r="D585">
        <v>107.45</v>
      </c>
      <c r="E585">
        <v>189.27</v>
      </c>
      <c r="F585">
        <v>493.2</v>
      </c>
    </row>
    <row r="586" spans="1:6" x14ac:dyDescent="0.25">
      <c r="A586" t="s">
        <v>591</v>
      </c>
      <c r="B586">
        <v>176.17</v>
      </c>
      <c r="C586">
        <v>421.61</v>
      </c>
      <c r="D586">
        <v>109.65</v>
      </c>
      <c r="E586">
        <v>190.42</v>
      </c>
      <c r="F586">
        <v>495.28</v>
      </c>
    </row>
    <row r="587" spans="1:6" x14ac:dyDescent="0.25">
      <c r="A587" t="s">
        <v>592</v>
      </c>
      <c r="B587">
        <v>175.25</v>
      </c>
      <c r="C587">
        <v>417.97</v>
      </c>
      <c r="D587">
        <v>110.41</v>
      </c>
      <c r="E587">
        <v>186.66</v>
      </c>
      <c r="F587">
        <v>489.3</v>
      </c>
    </row>
    <row r="588" spans="1:6" x14ac:dyDescent="0.25">
      <c r="A588" t="s">
        <v>593</v>
      </c>
      <c r="B588">
        <v>174.4</v>
      </c>
      <c r="C588">
        <v>412.93</v>
      </c>
      <c r="D588">
        <v>111.32</v>
      </c>
      <c r="E588">
        <v>195.45</v>
      </c>
      <c r="F588">
        <v>496.3</v>
      </c>
    </row>
    <row r="589" spans="1:6" x14ac:dyDescent="0.25">
      <c r="A589" t="s">
        <v>594</v>
      </c>
      <c r="B589">
        <v>172.54</v>
      </c>
      <c r="C589">
        <v>413.7</v>
      </c>
      <c r="D589">
        <v>109.67</v>
      </c>
      <c r="E589">
        <v>193.24</v>
      </c>
      <c r="F589">
        <v>493.12</v>
      </c>
    </row>
    <row r="590" spans="1:6" x14ac:dyDescent="0.25">
      <c r="A590" t="s">
        <v>595</v>
      </c>
      <c r="B590">
        <v>170.88</v>
      </c>
      <c r="C590">
        <v>415.75</v>
      </c>
      <c r="D590">
        <v>110.33</v>
      </c>
      <c r="E590">
        <v>192.89</v>
      </c>
      <c r="F590">
        <v>489.6</v>
      </c>
    </row>
    <row r="591" spans="1:6" x14ac:dyDescent="0.25">
      <c r="A591" t="s">
        <v>596</v>
      </c>
      <c r="B591">
        <v>168.73</v>
      </c>
      <c r="C591">
        <v>408.61</v>
      </c>
      <c r="D591">
        <v>109.48</v>
      </c>
      <c r="E591">
        <v>192.32</v>
      </c>
      <c r="F591">
        <v>486.13</v>
      </c>
    </row>
    <row r="592" spans="1:6" x14ac:dyDescent="0.25">
      <c r="A592" t="s">
        <v>597</v>
      </c>
      <c r="B592">
        <v>167.55</v>
      </c>
      <c r="C592">
        <v>405.82</v>
      </c>
      <c r="D592">
        <v>108.82</v>
      </c>
      <c r="E592">
        <v>189.67</v>
      </c>
      <c r="F592">
        <v>484.11</v>
      </c>
    </row>
    <row r="593" spans="1:6" x14ac:dyDescent="0.25">
      <c r="A593" t="s">
        <v>598</v>
      </c>
      <c r="B593">
        <v>167.06</v>
      </c>
      <c r="C593">
        <v>406.82</v>
      </c>
      <c r="D593">
        <v>108.87</v>
      </c>
      <c r="E593">
        <v>189.7</v>
      </c>
      <c r="F593">
        <v>485.12</v>
      </c>
    </row>
    <row r="594" spans="1:6" x14ac:dyDescent="0.25">
      <c r="A594" t="s">
        <v>599</v>
      </c>
      <c r="B594">
        <v>168.36</v>
      </c>
      <c r="C594">
        <v>404.45</v>
      </c>
      <c r="D594">
        <v>109.31</v>
      </c>
      <c r="E594">
        <v>188.49</v>
      </c>
      <c r="F594">
        <v>479.65</v>
      </c>
    </row>
    <row r="595" spans="1:6" x14ac:dyDescent="0.25">
      <c r="A595" t="s">
        <v>600</v>
      </c>
      <c r="B595">
        <v>167.78</v>
      </c>
      <c r="C595">
        <v>402.7</v>
      </c>
      <c r="D595">
        <v>107.2</v>
      </c>
      <c r="E595">
        <v>186.73</v>
      </c>
      <c r="F595">
        <v>476.04</v>
      </c>
    </row>
    <row r="596" spans="1:6" x14ac:dyDescent="0.25">
      <c r="A596" t="s">
        <v>601</v>
      </c>
      <c r="B596">
        <v>169.64</v>
      </c>
      <c r="C596">
        <v>401.52</v>
      </c>
      <c r="D596">
        <v>107.22</v>
      </c>
      <c r="E596">
        <v>183</v>
      </c>
      <c r="F596">
        <v>473.91</v>
      </c>
    </row>
    <row r="597" spans="1:6" x14ac:dyDescent="0.25">
      <c r="A597" t="s">
        <v>602</v>
      </c>
      <c r="B597">
        <v>166.52</v>
      </c>
      <c r="C597">
        <v>405.64</v>
      </c>
      <c r="D597">
        <v>107.75</v>
      </c>
      <c r="E597">
        <v>183.24</v>
      </c>
      <c r="F597">
        <v>467.69</v>
      </c>
    </row>
    <row r="598" spans="1:6" x14ac:dyDescent="0.25">
      <c r="A598" t="s">
        <v>603</v>
      </c>
      <c r="B598">
        <v>165.66</v>
      </c>
      <c r="C598">
        <v>398.9</v>
      </c>
      <c r="D598">
        <v>107.06</v>
      </c>
      <c r="E598">
        <v>181.82</v>
      </c>
      <c r="F598">
        <v>465.86</v>
      </c>
    </row>
    <row r="599" spans="1:6" x14ac:dyDescent="0.25">
      <c r="A599" t="s">
        <v>604</v>
      </c>
      <c r="B599">
        <v>165.05</v>
      </c>
      <c r="C599">
        <v>390.24</v>
      </c>
      <c r="D599">
        <v>107.28</v>
      </c>
      <c r="E599">
        <v>182.92</v>
      </c>
      <c r="F599">
        <v>466.35</v>
      </c>
    </row>
    <row r="600" spans="1:6" x14ac:dyDescent="0.25">
      <c r="A600" t="s">
        <v>605</v>
      </c>
      <c r="B600">
        <v>162.32</v>
      </c>
      <c r="C600">
        <v>387.4</v>
      </c>
      <c r="D600">
        <v>107.09</v>
      </c>
      <c r="E600">
        <v>183.11</v>
      </c>
      <c r="F600">
        <v>457.97</v>
      </c>
    </row>
    <row r="601" spans="1:6" x14ac:dyDescent="0.25">
      <c r="A601" t="s">
        <v>606</v>
      </c>
      <c r="B601">
        <v>161.25</v>
      </c>
      <c r="C601">
        <v>381.9</v>
      </c>
      <c r="D601">
        <v>109.16</v>
      </c>
      <c r="E601">
        <v>182.99</v>
      </c>
      <c r="F601">
        <v>457.58</v>
      </c>
    </row>
    <row r="602" spans="1:6" x14ac:dyDescent="0.25">
      <c r="A602" t="s">
        <v>607</v>
      </c>
      <c r="B602">
        <v>164.58</v>
      </c>
      <c r="C602">
        <v>394.57</v>
      </c>
      <c r="D602">
        <v>110.42</v>
      </c>
      <c r="E602">
        <v>184.46</v>
      </c>
      <c r="F602">
        <v>462.62</v>
      </c>
    </row>
    <row r="603" spans="1:6" x14ac:dyDescent="0.25">
      <c r="A603" t="s">
        <v>608</v>
      </c>
      <c r="B603">
        <v>170.33</v>
      </c>
      <c r="C603">
        <v>398.56</v>
      </c>
      <c r="D603">
        <v>108.87</v>
      </c>
      <c r="E603">
        <v>184.66</v>
      </c>
      <c r="F603">
        <v>468.6</v>
      </c>
    </row>
    <row r="604" spans="1:6" x14ac:dyDescent="0.25">
      <c r="A604" t="s">
        <v>609</v>
      </c>
      <c r="B604">
        <v>154.53</v>
      </c>
      <c r="C604">
        <v>391.42</v>
      </c>
      <c r="D604">
        <v>111.98</v>
      </c>
      <c r="E604">
        <v>184.55</v>
      </c>
      <c r="F604">
        <v>467.19</v>
      </c>
    </row>
    <row r="605" spans="1:6" x14ac:dyDescent="0.25">
      <c r="A605" t="s">
        <v>610</v>
      </c>
      <c r="B605">
        <v>157.63</v>
      </c>
      <c r="C605">
        <v>401.25</v>
      </c>
      <c r="D605">
        <v>111.72</v>
      </c>
      <c r="E605">
        <v>184.27</v>
      </c>
      <c r="F605">
        <v>460.99</v>
      </c>
    </row>
    <row r="606" spans="1:6" x14ac:dyDescent="0.25">
      <c r="A606" t="s">
        <v>611</v>
      </c>
      <c r="B606">
        <v>156.77000000000001</v>
      </c>
      <c r="C606">
        <v>399.79</v>
      </c>
      <c r="D606">
        <v>111.7</v>
      </c>
      <c r="E606">
        <v>183.38</v>
      </c>
      <c r="F606">
        <v>459.93</v>
      </c>
    </row>
    <row r="607" spans="1:6" x14ac:dyDescent="0.25">
      <c r="A607" t="s">
        <v>612</v>
      </c>
      <c r="B607">
        <v>154.81</v>
      </c>
      <c r="C607">
        <v>393.3</v>
      </c>
      <c r="D607">
        <v>111.27</v>
      </c>
      <c r="E607">
        <v>180.77</v>
      </c>
      <c r="F607">
        <v>464.71</v>
      </c>
    </row>
    <row r="608" spans="1:6" x14ac:dyDescent="0.25">
      <c r="A608" t="s">
        <v>613</v>
      </c>
      <c r="B608">
        <v>152.63999999999999</v>
      </c>
      <c r="C608">
        <v>391.5</v>
      </c>
      <c r="D608">
        <v>110.64</v>
      </c>
      <c r="E608">
        <v>177.33</v>
      </c>
      <c r="F608">
        <v>474.07</v>
      </c>
    </row>
    <row r="609" spans="1:6" x14ac:dyDescent="0.25">
      <c r="A609" t="s">
        <v>614</v>
      </c>
      <c r="B609">
        <v>154.54</v>
      </c>
      <c r="C609">
        <v>396.55</v>
      </c>
      <c r="D609">
        <v>109.39</v>
      </c>
      <c r="E609">
        <v>172.98</v>
      </c>
      <c r="F609">
        <v>466.55</v>
      </c>
    </row>
    <row r="610" spans="1:6" x14ac:dyDescent="0.25">
      <c r="A610" t="s">
        <v>615</v>
      </c>
      <c r="B610">
        <v>154</v>
      </c>
      <c r="C610">
        <v>403.98</v>
      </c>
      <c r="D610">
        <v>109.49</v>
      </c>
      <c r="E610">
        <v>171.87</v>
      </c>
      <c r="F610">
        <v>453.13</v>
      </c>
    </row>
    <row r="611" spans="1:6" x14ac:dyDescent="0.25">
      <c r="A611" t="s">
        <v>616</v>
      </c>
      <c r="B611">
        <v>152.94</v>
      </c>
      <c r="C611">
        <v>406.66</v>
      </c>
      <c r="D611">
        <v>109.54</v>
      </c>
      <c r="E611">
        <v>172.55</v>
      </c>
      <c r="F611">
        <v>443.57</v>
      </c>
    </row>
    <row r="612" spans="1:6" x14ac:dyDescent="0.25">
      <c r="A612" t="s">
        <v>617</v>
      </c>
      <c r="B612">
        <v>153.4</v>
      </c>
      <c r="C612">
        <v>405.74</v>
      </c>
      <c r="D612">
        <v>110.46</v>
      </c>
      <c r="E612">
        <v>174.55</v>
      </c>
      <c r="F612">
        <v>421.57</v>
      </c>
    </row>
    <row r="613" spans="1:6" x14ac:dyDescent="0.25">
      <c r="A613" t="s">
        <v>618</v>
      </c>
      <c r="B613">
        <v>156.24</v>
      </c>
      <c r="C613">
        <v>413.85</v>
      </c>
      <c r="D613">
        <v>111.09</v>
      </c>
      <c r="E613">
        <v>174.45</v>
      </c>
      <c r="F613">
        <v>415.49</v>
      </c>
    </row>
    <row r="614" spans="1:6" x14ac:dyDescent="0.25">
      <c r="A614" t="s">
        <v>619</v>
      </c>
      <c r="B614">
        <v>157.91</v>
      </c>
      <c r="C614">
        <v>419.76</v>
      </c>
      <c r="D614">
        <v>112.4</v>
      </c>
      <c r="E614">
        <v>186.52</v>
      </c>
      <c r="F614">
        <v>417.87</v>
      </c>
    </row>
    <row r="615" spans="1:6" x14ac:dyDescent="0.25">
      <c r="A615" t="s">
        <v>620</v>
      </c>
      <c r="B615">
        <v>154.66999999999999</v>
      </c>
      <c r="C615">
        <v>415.18</v>
      </c>
      <c r="D615">
        <v>112.78</v>
      </c>
      <c r="E615">
        <v>186.55</v>
      </c>
      <c r="F615">
        <v>425.75</v>
      </c>
    </row>
    <row r="616" spans="1:6" x14ac:dyDescent="0.25">
      <c r="A616" t="s">
        <v>621</v>
      </c>
      <c r="B616">
        <v>155.12</v>
      </c>
      <c r="C616">
        <v>418.14</v>
      </c>
      <c r="D616">
        <v>111.84</v>
      </c>
      <c r="E616">
        <v>188.16</v>
      </c>
      <c r="F616">
        <v>434.9</v>
      </c>
    </row>
    <row r="617" spans="1:6" x14ac:dyDescent="0.25">
      <c r="A617" t="s">
        <v>622</v>
      </c>
      <c r="B617">
        <v>153.38999999999999</v>
      </c>
      <c r="C617">
        <v>416.48</v>
      </c>
      <c r="D617">
        <v>111.26</v>
      </c>
      <c r="E617">
        <v>189.43</v>
      </c>
      <c r="F617">
        <v>431.38</v>
      </c>
    </row>
    <row r="618" spans="1:6" x14ac:dyDescent="0.25">
      <c r="A618" t="s">
        <v>623</v>
      </c>
      <c r="B618">
        <v>151.06</v>
      </c>
      <c r="C618">
        <v>417.4</v>
      </c>
      <c r="D618">
        <v>112.02</v>
      </c>
      <c r="E618">
        <v>188.44</v>
      </c>
      <c r="F618">
        <v>431.13</v>
      </c>
    </row>
    <row r="619" spans="1:6" x14ac:dyDescent="0.25">
      <c r="A619" t="s">
        <v>624</v>
      </c>
      <c r="B619">
        <v>149.11000000000001</v>
      </c>
      <c r="C619">
        <v>409.9</v>
      </c>
      <c r="D619">
        <v>110.49</v>
      </c>
      <c r="E619">
        <v>186.73</v>
      </c>
      <c r="F619">
        <v>430.79</v>
      </c>
    </row>
    <row r="620" spans="1:6" x14ac:dyDescent="0.25">
      <c r="A620" t="s">
        <v>625</v>
      </c>
      <c r="B620">
        <v>153.46</v>
      </c>
      <c r="C620">
        <v>412.42</v>
      </c>
      <c r="D620">
        <v>110.11</v>
      </c>
      <c r="E620">
        <v>188.16</v>
      </c>
      <c r="F620">
        <v>434.92</v>
      </c>
    </row>
    <row r="621" spans="1:6" x14ac:dyDescent="0.25">
      <c r="A621" t="s">
        <v>626</v>
      </c>
      <c r="B621">
        <v>153.1</v>
      </c>
      <c r="C621">
        <v>413.39</v>
      </c>
      <c r="D621">
        <v>110.09</v>
      </c>
      <c r="E621">
        <v>188.69</v>
      </c>
      <c r="F621">
        <v>433.4</v>
      </c>
    </row>
    <row r="622" spans="1:6" x14ac:dyDescent="0.25">
      <c r="A622" t="s">
        <v>627</v>
      </c>
      <c r="B622">
        <v>154.02000000000001</v>
      </c>
      <c r="C622">
        <v>416.46</v>
      </c>
      <c r="D622">
        <v>107.97</v>
      </c>
      <c r="E622">
        <v>188.77</v>
      </c>
      <c r="F622">
        <v>463.26</v>
      </c>
    </row>
    <row r="623" spans="1:6" x14ac:dyDescent="0.25">
      <c r="A623" t="s">
        <v>628</v>
      </c>
      <c r="B623">
        <v>149.51</v>
      </c>
      <c r="C623">
        <v>412.69</v>
      </c>
      <c r="D623">
        <v>107.28</v>
      </c>
      <c r="E623">
        <v>190.06</v>
      </c>
      <c r="F623">
        <v>467.99</v>
      </c>
    </row>
    <row r="624" spans="1:6" x14ac:dyDescent="0.25">
      <c r="A624" t="s">
        <v>629</v>
      </c>
      <c r="B624">
        <v>149.44999999999999</v>
      </c>
      <c r="C624">
        <v>413.38</v>
      </c>
      <c r="D624">
        <v>106.11</v>
      </c>
      <c r="E624">
        <v>189.32</v>
      </c>
      <c r="F624">
        <v>466.48</v>
      </c>
    </row>
    <row r="625" spans="1:6" x14ac:dyDescent="0.25">
      <c r="A625" t="s">
        <v>630</v>
      </c>
      <c r="B625">
        <v>149.25</v>
      </c>
      <c r="C625">
        <v>413.6</v>
      </c>
      <c r="D625">
        <v>105.02</v>
      </c>
      <c r="E625">
        <v>185.72</v>
      </c>
      <c r="F625">
        <v>465.73</v>
      </c>
    </row>
    <row r="626" spans="1:6" x14ac:dyDescent="0.25">
      <c r="A626" t="s">
        <v>631</v>
      </c>
      <c r="B626">
        <v>148.66</v>
      </c>
      <c r="C626">
        <v>414.79</v>
      </c>
      <c r="D626">
        <v>105.81</v>
      </c>
      <c r="E626">
        <v>184.86</v>
      </c>
      <c r="F626">
        <v>459.64</v>
      </c>
    </row>
    <row r="627" spans="1:6" x14ac:dyDescent="0.25">
      <c r="A627" t="s">
        <v>632</v>
      </c>
      <c r="B627">
        <v>149.35</v>
      </c>
      <c r="C627">
        <v>420.55</v>
      </c>
      <c r="D627">
        <v>104.74</v>
      </c>
      <c r="E627">
        <v>186.56</v>
      </c>
      <c r="F627">
        <v>463.61</v>
      </c>
    </row>
    <row r="628" spans="1:6" x14ac:dyDescent="0.25">
      <c r="A628" t="s">
        <v>633</v>
      </c>
      <c r="B628">
        <v>146.21</v>
      </c>
      <c r="C628">
        <v>421.17</v>
      </c>
      <c r="D628">
        <v>104.74</v>
      </c>
      <c r="E628">
        <v>188.88</v>
      </c>
      <c r="F628">
        <v>465.14</v>
      </c>
    </row>
    <row r="629" spans="1:6" x14ac:dyDescent="0.25">
      <c r="A629" t="s">
        <v>634</v>
      </c>
      <c r="B629">
        <v>147.34</v>
      </c>
      <c r="C629">
        <v>417.11</v>
      </c>
      <c r="D629">
        <v>104.28</v>
      </c>
      <c r="E629">
        <v>186.29</v>
      </c>
      <c r="F629">
        <v>467.54</v>
      </c>
    </row>
    <row r="630" spans="1:6" x14ac:dyDescent="0.25">
      <c r="A630" t="s">
        <v>635</v>
      </c>
      <c r="B630">
        <v>145.63999999999999</v>
      </c>
      <c r="C630">
        <v>413.36</v>
      </c>
      <c r="D630">
        <v>104.37</v>
      </c>
      <c r="E630">
        <v>183.88</v>
      </c>
      <c r="F630">
        <v>466.68</v>
      </c>
    </row>
    <row r="631" spans="1:6" x14ac:dyDescent="0.25">
      <c r="A631" t="s">
        <v>636</v>
      </c>
      <c r="B631">
        <v>146.29</v>
      </c>
      <c r="C631">
        <v>409.35</v>
      </c>
      <c r="D631">
        <v>103.65</v>
      </c>
      <c r="E631">
        <v>182.81</v>
      </c>
      <c r="F631">
        <v>460.75</v>
      </c>
    </row>
    <row r="632" spans="1:6" x14ac:dyDescent="0.25">
      <c r="A632" t="s">
        <v>637</v>
      </c>
      <c r="B632">
        <v>139.85</v>
      </c>
      <c r="C632">
        <v>408.47</v>
      </c>
      <c r="D632">
        <v>102.69</v>
      </c>
      <c r="E632">
        <v>180.57</v>
      </c>
      <c r="F632">
        <v>464.32</v>
      </c>
    </row>
    <row r="633" spans="1:6" x14ac:dyDescent="0.25">
      <c r="A633" t="s">
        <v>638</v>
      </c>
      <c r="B633">
        <v>141.75</v>
      </c>
      <c r="C633">
        <v>417.1</v>
      </c>
      <c r="D633">
        <v>102.88</v>
      </c>
      <c r="E633">
        <v>178.36</v>
      </c>
      <c r="F633">
        <v>462.6</v>
      </c>
    </row>
    <row r="634" spans="1:6" x14ac:dyDescent="0.25">
      <c r="A634" t="s">
        <v>639</v>
      </c>
      <c r="B634">
        <v>138.47</v>
      </c>
      <c r="C634">
        <v>407.18</v>
      </c>
      <c r="D634">
        <v>101.09</v>
      </c>
      <c r="E634">
        <v>181.59</v>
      </c>
      <c r="F634">
        <v>461.65</v>
      </c>
    </row>
    <row r="635" spans="1:6" x14ac:dyDescent="0.25">
      <c r="A635" t="s">
        <v>640</v>
      </c>
      <c r="B635">
        <v>137.19</v>
      </c>
      <c r="C635">
        <v>407.35</v>
      </c>
      <c r="D635">
        <v>99.97</v>
      </c>
      <c r="E635">
        <v>180.13</v>
      </c>
      <c r="F635">
        <v>462.93</v>
      </c>
    </row>
    <row r="636" spans="1:6" x14ac:dyDescent="0.25">
      <c r="A636" t="s">
        <v>641</v>
      </c>
      <c r="B636">
        <v>136.37</v>
      </c>
      <c r="C636">
        <v>396.8</v>
      </c>
      <c r="D636">
        <v>100.62</v>
      </c>
      <c r="E636">
        <v>178.66</v>
      </c>
      <c r="F636">
        <v>462.74</v>
      </c>
    </row>
    <row r="637" spans="1:6" x14ac:dyDescent="0.25">
      <c r="A637" t="s">
        <v>642</v>
      </c>
      <c r="B637">
        <v>134.13</v>
      </c>
      <c r="C637">
        <v>398.46</v>
      </c>
      <c r="D637">
        <v>100.03</v>
      </c>
      <c r="E637">
        <v>178.59</v>
      </c>
      <c r="F637">
        <v>450.84</v>
      </c>
    </row>
    <row r="638" spans="1:6" x14ac:dyDescent="0.25">
      <c r="A638" t="s">
        <v>643</v>
      </c>
      <c r="B638">
        <v>133.11000000000001</v>
      </c>
      <c r="C638">
        <v>401.33</v>
      </c>
      <c r="D638">
        <v>99.1</v>
      </c>
      <c r="E638">
        <v>178.26</v>
      </c>
      <c r="F638">
        <v>451.15</v>
      </c>
    </row>
    <row r="639" spans="1:6" x14ac:dyDescent="0.25">
      <c r="A639" t="s">
        <v>644</v>
      </c>
      <c r="B639">
        <v>130.16</v>
      </c>
      <c r="C639">
        <v>394.41</v>
      </c>
      <c r="D639">
        <v>98.54</v>
      </c>
      <c r="E639">
        <v>179.84</v>
      </c>
      <c r="F639">
        <v>445.33</v>
      </c>
    </row>
    <row r="640" spans="1:6" x14ac:dyDescent="0.25">
      <c r="A640" t="s">
        <v>645</v>
      </c>
      <c r="B640">
        <v>131.41999999999999</v>
      </c>
      <c r="C640">
        <v>394.96</v>
      </c>
      <c r="D640">
        <v>97.5</v>
      </c>
      <c r="E640">
        <v>178.91</v>
      </c>
      <c r="F640">
        <v>445.84</v>
      </c>
    </row>
    <row r="641" spans="1:6" x14ac:dyDescent="0.25">
      <c r="A641" t="s">
        <v>646</v>
      </c>
      <c r="B641">
        <v>132.09</v>
      </c>
      <c r="C641">
        <v>407</v>
      </c>
      <c r="D641">
        <v>96.32</v>
      </c>
      <c r="E641">
        <v>177.13</v>
      </c>
      <c r="F641">
        <v>454.06</v>
      </c>
    </row>
    <row r="642" spans="1:6" x14ac:dyDescent="0.25">
      <c r="A642" t="s">
        <v>647</v>
      </c>
      <c r="B642">
        <v>135.85</v>
      </c>
      <c r="C642">
        <v>407.57</v>
      </c>
      <c r="D642">
        <v>97.68</v>
      </c>
      <c r="E642">
        <v>175.81</v>
      </c>
      <c r="F642">
        <v>461.28</v>
      </c>
    </row>
    <row r="643" spans="1:6" x14ac:dyDescent="0.25">
      <c r="A643" t="s">
        <v>648</v>
      </c>
      <c r="B643">
        <v>137.15</v>
      </c>
      <c r="C643">
        <v>405.74</v>
      </c>
      <c r="D643">
        <v>96.47</v>
      </c>
      <c r="E643">
        <v>176.54</v>
      </c>
      <c r="F643">
        <v>465.11</v>
      </c>
    </row>
    <row r="644" spans="1:6" x14ac:dyDescent="0.25">
      <c r="A644" t="s">
        <v>649</v>
      </c>
      <c r="B644">
        <v>135.09</v>
      </c>
      <c r="C644">
        <v>399.94</v>
      </c>
      <c r="D644">
        <v>96.28</v>
      </c>
      <c r="E644">
        <v>174.95</v>
      </c>
      <c r="F644">
        <v>469.52</v>
      </c>
    </row>
    <row r="645" spans="1:6" x14ac:dyDescent="0.25">
      <c r="A645" t="s">
        <v>650</v>
      </c>
      <c r="B645">
        <v>137.57</v>
      </c>
      <c r="C645">
        <v>399.7</v>
      </c>
      <c r="D645">
        <v>96.01</v>
      </c>
      <c r="E645">
        <v>174.07</v>
      </c>
      <c r="F645">
        <v>483.79</v>
      </c>
    </row>
    <row r="646" spans="1:6" x14ac:dyDescent="0.25">
      <c r="A646" t="s">
        <v>651</v>
      </c>
      <c r="B646">
        <v>136.27000000000001</v>
      </c>
      <c r="C646">
        <v>399.76</v>
      </c>
      <c r="D646">
        <v>96.22</v>
      </c>
      <c r="E646">
        <v>173.98</v>
      </c>
      <c r="F646">
        <v>495</v>
      </c>
    </row>
    <row r="647" spans="1:6" x14ac:dyDescent="0.25">
      <c r="A647" t="s">
        <v>652</v>
      </c>
      <c r="B647">
        <v>142.6</v>
      </c>
      <c r="C647">
        <v>402.51</v>
      </c>
      <c r="D647">
        <v>95.84</v>
      </c>
      <c r="E647">
        <v>174.58</v>
      </c>
      <c r="F647">
        <v>496.81</v>
      </c>
    </row>
    <row r="648" spans="1:6" x14ac:dyDescent="0.25">
      <c r="A648" t="s">
        <v>653</v>
      </c>
      <c r="B648">
        <v>142.72999999999999</v>
      </c>
      <c r="C648">
        <v>403.79</v>
      </c>
      <c r="D648">
        <v>96.69</v>
      </c>
      <c r="E648">
        <v>173.71</v>
      </c>
      <c r="F648">
        <v>496.12</v>
      </c>
    </row>
    <row r="649" spans="1:6" x14ac:dyDescent="0.25">
      <c r="A649" t="s">
        <v>654</v>
      </c>
      <c r="B649">
        <v>141.21</v>
      </c>
      <c r="C649">
        <v>394.5</v>
      </c>
      <c r="D649">
        <v>96.77</v>
      </c>
      <c r="E649">
        <v>171.65</v>
      </c>
      <c r="F649">
        <v>491.85</v>
      </c>
    </row>
    <row r="650" spans="1:6" x14ac:dyDescent="0.25">
      <c r="A650" t="s">
        <v>655</v>
      </c>
      <c r="B650">
        <v>139.79</v>
      </c>
      <c r="C650">
        <v>395.1</v>
      </c>
      <c r="D650">
        <v>94.83</v>
      </c>
      <c r="E650">
        <v>170.54</v>
      </c>
      <c r="F650">
        <v>490.99</v>
      </c>
    </row>
    <row r="651" spans="1:6" x14ac:dyDescent="0.25">
      <c r="A651" t="s">
        <v>656</v>
      </c>
      <c r="B651">
        <v>139.19999999999999</v>
      </c>
      <c r="C651">
        <v>396.35</v>
      </c>
      <c r="D651">
        <v>95.74</v>
      </c>
      <c r="E651">
        <v>169.87</v>
      </c>
      <c r="F651">
        <v>491.45</v>
      </c>
    </row>
    <row r="652" spans="1:6" x14ac:dyDescent="0.25">
      <c r="A652" t="s">
        <v>657</v>
      </c>
      <c r="B652">
        <v>141.41999999999999</v>
      </c>
      <c r="C652">
        <v>398.8</v>
      </c>
      <c r="D652">
        <v>95.74</v>
      </c>
      <c r="E652">
        <v>170.67</v>
      </c>
      <c r="F652">
        <v>490.82</v>
      </c>
    </row>
    <row r="653" spans="1:6" x14ac:dyDescent="0.25">
      <c r="A653" t="s">
        <v>658</v>
      </c>
      <c r="B653">
        <v>144.56</v>
      </c>
      <c r="C653">
        <v>401.67</v>
      </c>
      <c r="D653">
        <v>93.07</v>
      </c>
      <c r="E653">
        <v>167.03</v>
      </c>
      <c r="F653">
        <v>487.11</v>
      </c>
    </row>
    <row r="654" spans="1:6" x14ac:dyDescent="0.25">
      <c r="A654" t="s">
        <v>659</v>
      </c>
      <c r="B654">
        <v>143.77000000000001</v>
      </c>
      <c r="C654">
        <v>397.83</v>
      </c>
      <c r="D654">
        <v>93.53</v>
      </c>
      <c r="E654">
        <v>165.35</v>
      </c>
      <c r="F654">
        <v>487.02</v>
      </c>
    </row>
    <row r="655" spans="1:6" x14ac:dyDescent="0.25">
      <c r="A655" t="s">
        <v>660</v>
      </c>
      <c r="B655">
        <v>146.13999999999999</v>
      </c>
      <c r="C655">
        <v>406.58</v>
      </c>
      <c r="D655">
        <v>94.34</v>
      </c>
      <c r="E655">
        <v>166.8</v>
      </c>
      <c r="F655">
        <v>487.77</v>
      </c>
    </row>
    <row r="656" spans="1:6" x14ac:dyDescent="0.25">
      <c r="A656" t="s">
        <v>661</v>
      </c>
      <c r="B656">
        <v>147.6</v>
      </c>
      <c r="C656">
        <v>411.76</v>
      </c>
      <c r="D656">
        <v>93.06</v>
      </c>
      <c r="E656">
        <v>166.06</v>
      </c>
      <c r="F656">
        <v>488.31</v>
      </c>
    </row>
    <row r="657" spans="1:6" x14ac:dyDescent="0.25">
      <c r="A657" t="s">
        <v>662</v>
      </c>
      <c r="B657">
        <v>144.53</v>
      </c>
      <c r="C657">
        <v>405.45</v>
      </c>
      <c r="D657">
        <v>95.07</v>
      </c>
      <c r="E657">
        <v>165.86</v>
      </c>
      <c r="F657">
        <v>490.08</v>
      </c>
    </row>
    <row r="658" spans="1:6" x14ac:dyDescent="0.25">
      <c r="A658" t="s">
        <v>663</v>
      </c>
      <c r="B658">
        <v>144.16999999999999</v>
      </c>
      <c r="C658">
        <v>405.4</v>
      </c>
      <c r="D658">
        <v>93.47</v>
      </c>
      <c r="E658">
        <v>166.46</v>
      </c>
      <c r="F658">
        <v>489.42</v>
      </c>
    </row>
    <row r="659" spans="1:6" x14ac:dyDescent="0.25">
      <c r="A659" t="s">
        <v>664</v>
      </c>
      <c r="B659">
        <v>142.74</v>
      </c>
      <c r="C659">
        <v>397.01</v>
      </c>
      <c r="D659">
        <v>93.5</v>
      </c>
      <c r="E659">
        <v>166.14</v>
      </c>
      <c r="F659">
        <v>481.2</v>
      </c>
    </row>
    <row r="660" spans="1:6" x14ac:dyDescent="0.25">
      <c r="A660" t="s">
        <v>665</v>
      </c>
      <c r="B660">
        <v>142.33000000000001</v>
      </c>
      <c r="C660">
        <v>397.17</v>
      </c>
      <c r="D660">
        <v>92.86</v>
      </c>
      <c r="E660">
        <v>165.58</v>
      </c>
      <c r="F660">
        <v>473.93</v>
      </c>
    </row>
    <row r="661" spans="1:6" x14ac:dyDescent="0.25">
      <c r="A661" t="s">
        <v>666</v>
      </c>
      <c r="B661">
        <v>141.04</v>
      </c>
      <c r="C661">
        <v>402.62</v>
      </c>
      <c r="D661">
        <v>93.24</v>
      </c>
      <c r="E661">
        <v>165.79</v>
      </c>
      <c r="F661">
        <v>480.78</v>
      </c>
    </row>
    <row r="662" spans="1:6" x14ac:dyDescent="0.25">
      <c r="A662" t="s">
        <v>667</v>
      </c>
      <c r="B662">
        <v>139.83000000000001</v>
      </c>
      <c r="C662">
        <v>395.34</v>
      </c>
      <c r="D662">
        <v>93.63</v>
      </c>
      <c r="E662">
        <v>164.84</v>
      </c>
      <c r="F662">
        <v>477.87</v>
      </c>
    </row>
    <row r="663" spans="1:6" x14ac:dyDescent="0.25">
      <c r="A663" t="s">
        <v>668</v>
      </c>
      <c r="B663">
        <v>138.78</v>
      </c>
      <c r="C663">
        <v>389.27</v>
      </c>
      <c r="D663">
        <v>94.01</v>
      </c>
      <c r="E663">
        <v>165.44</v>
      </c>
      <c r="F663">
        <v>482.21</v>
      </c>
    </row>
    <row r="664" spans="1:6" x14ac:dyDescent="0.25">
      <c r="A664" t="s">
        <v>669</v>
      </c>
      <c r="B664">
        <v>150.03</v>
      </c>
      <c r="C664">
        <v>400.05</v>
      </c>
      <c r="D664">
        <v>95.88</v>
      </c>
      <c r="E664">
        <v>167.25</v>
      </c>
      <c r="F664">
        <v>474.55</v>
      </c>
    </row>
    <row r="665" spans="1:6" x14ac:dyDescent="0.25">
      <c r="A665" t="s">
        <v>670</v>
      </c>
      <c r="B665">
        <v>152.06</v>
      </c>
      <c r="C665">
        <v>401.16</v>
      </c>
      <c r="D665">
        <v>94.31</v>
      </c>
      <c r="E665">
        <v>163.9</v>
      </c>
      <c r="F665">
        <v>475.42</v>
      </c>
    </row>
    <row r="666" spans="1:6" x14ac:dyDescent="0.25">
      <c r="A666" t="s">
        <v>671</v>
      </c>
      <c r="B666">
        <v>150.76</v>
      </c>
      <c r="C666">
        <v>395.49</v>
      </c>
      <c r="D666">
        <v>94.19</v>
      </c>
      <c r="E666">
        <v>163.47</v>
      </c>
      <c r="F666">
        <v>474.16</v>
      </c>
    </row>
    <row r="667" spans="1:6" x14ac:dyDescent="0.25">
      <c r="A667" t="s">
        <v>672</v>
      </c>
      <c r="B667">
        <v>150.44</v>
      </c>
      <c r="C667">
        <v>396.41</v>
      </c>
      <c r="D667">
        <v>93.39</v>
      </c>
      <c r="E667">
        <v>164.09</v>
      </c>
      <c r="F667">
        <v>464.93</v>
      </c>
    </row>
    <row r="668" spans="1:6" x14ac:dyDescent="0.25">
      <c r="A668" t="s">
        <v>673</v>
      </c>
      <c r="B668">
        <v>147.30000000000001</v>
      </c>
      <c r="C668">
        <v>394.15</v>
      </c>
      <c r="D668">
        <v>91.08</v>
      </c>
      <c r="E668">
        <v>161.78</v>
      </c>
      <c r="F668">
        <v>483.61</v>
      </c>
    </row>
    <row r="669" spans="1:6" x14ac:dyDescent="0.25">
      <c r="A669" t="s">
        <v>674</v>
      </c>
      <c r="B669">
        <v>145.65</v>
      </c>
      <c r="C669">
        <v>390.56</v>
      </c>
      <c r="D669">
        <v>89.53</v>
      </c>
      <c r="E669">
        <v>160.35</v>
      </c>
      <c r="F669">
        <v>485.77</v>
      </c>
    </row>
    <row r="670" spans="1:6" x14ac:dyDescent="0.25">
      <c r="A670" t="s">
        <v>675</v>
      </c>
      <c r="B670">
        <v>144.61000000000001</v>
      </c>
      <c r="C670">
        <v>388.22</v>
      </c>
      <c r="D670">
        <v>88.54</v>
      </c>
      <c r="E670">
        <v>161.41</v>
      </c>
      <c r="F670">
        <v>483.39</v>
      </c>
    </row>
    <row r="671" spans="1:6" x14ac:dyDescent="0.25">
      <c r="A671" t="s">
        <v>676</v>
      </c>
      <c r="B671">
        <v>145</v>
      </c>
      <c r="C671">
        <v>390.34</v>
      </c>
      <c r="D671">
        <v>88.65</v>
      </c>
      <c r="E671">
        <v>161.6</v>
      </c>
      <c r="F671">
        <v>474.5</v>
      </c>
    </row>
    <row r="672" spans="1:6" x14ac:dyDescent="0.25">
      <c r="A672" t="s">
        <v>677</v>
      </c>
      <c r="B672">
        <v>142.13</v>
      </c>
      <c r="C672">
        <v>385.64</v>
      </c>
      <c r="D672">
        <v>88.52</v>
      </c>
      <c r="E672">
        <v>158.86000000000001</v>
      </c>
      <c r="F672">
        <v>486.54</v>
      </c>
    </row>
    <row r="673" spans="1:6" x14ac:dyDescent="0.25">
      <c r="A673" t="s">
        <v>678</v>
      </c>
      <c r="B673">
        <v>140.13999999999999</v>
      </c>
      <c r="C673">
        <v>381.33</v>
      </c>
      <c r="D673">
        <v>88.68</v>
      </c>
      <c r="E673">
        <v>158.54</v>
      </c>
      <c r="F673">
        <v>494.65</v>
      </c>
    </row>
    <row r="674" spans="1:6" x14ac:dyDescent="0.25">
      <c r="A674" t="s">
        <v>679</v>
      </c>
      <c r="B674">
        <v>141.15</v>
      </c>
      <c r="C674">
        <v>382.11</v>
      </c>
      <c r="D674">
        <v>89.33</v>
      </c>
      <c r="E674">
        <v>159.4</v>
      </c>
      <c r="F674">
        <v>489.19</v>
      </c>
    </row>
    <row r="675" spans="1:6" x14ac:dyDescent="0.25">
      <c r="A675" t="s">
        <v>680</v>
      </c>
      <c r="B675">
        <v>141.31</v>
      </c>
      <c r="C675">
        <v>380.35</v>
      </c>
      <c r="D675">
        <v>91.4</v>
      </c>
      <c r="E675">
        <v>160.4</v>
      </c>
      <c r="F675">
        <v>491.41</v>
      </c>
    </row>
    <row r="676" spans="1:6" x14ac:dyDescent="0.25">
      <c r="A676" t="s">
        <v>681</v>
      </c>
      <c r="B676">
        <v>140.74</v>
      </c>
      <c r="C676">
        <v>376.59</v>
      </c>
      <c r="D676">
        <v>90.23</v>
      </c>
      <c r="E676">
        <v>161.59</v>
      </c>
      <c r="F676">
        <v>508.54</v>
      </c>
    </row>
    <row r="677" spans="1:6" x14ac:dyDescent="0.25">
      <c r="A677" t="s">
        <v>682</v>
      </c>
      <c r="B677">
        <v>140.94</v>
      </c>
      <c r="C677">
        <v>374.77</v>
      </c>
      <c r="D677">
        <v>90.25</v>
      </c>
      <c r="E677">
        <v>162.27000000000001</v>
      </c>
      <c r="F677">
        <v>506.61</v>
      </c>
    </row>
    <row r="678" spans="1:6" x14ac:dyDescent="0.25">
      <c r="A678" t="s">
        <v>683</v>
      </c>
      <c r="B678">
        <v>139.62</v>
      </c>
      <c r="C678">
        <v>367.94</v>
      </c>
      <c r="D678">
        <v>91.14</v>
      </c>
      <c r="E678">
        <v>161.93</v>
      </c>
      <c r="F678">
        <v>507.3</v>
      </c>
    </row>
    <row r="679" spans="1:6" x14ac:dyDescent="0.25">
      <c r="A679" t="s">
        <v>684</v>
      </c>
      <c r="B679">
        <v>137.53</v>
      </c>
      <c r="C679">
        <v>366.86</v>
      </c>
      <c r="D679">
        <v>92.28</v>
      </c>
      <c r="E679">
        <v>163.22</v>
      </c>
      <c r="F679">
        <v>505.56</v>
      </c>
    </row>
    <row r="680" spans="1:6" x14ac:dyDescent="0.25">
      <c r="A680" t="s">
        <v>685</v>
      </c>
      <c r="B680">
        <v>134.44999999999999</v>
      </c>
      <c r="C680">
        <v>360.06</v>
      </c>
      <c r="D680">
        <v>93.85</v>
      </c>
      <c r="E680">
        <v>163.46</v>
      </c>
      <c r="F680">
        <v>506.37</v>
      </c>
    </row>
    <row r="681" spans="1:6" x14ac:dyDescent="0.25">
      <c r="A681" t="s">
        <v>686</v>
      </c>
      <c r="B681">
        <v>135.1</v>
      </c>
      <c r="C681">
        <v>360.25</v>
      </c>
      <c r="D681">
        <v>93.57</v>
      </c>
      <c r="E681">
        <v>162.63999999999999</v>
      </c>
      <c r="F681">
        <v>513.94000000000005</v>
      </c>
    </row>
    <row r="682" spans="1:6" x14ac:dyDescent="0.25">
      <c r="A682" t="s">
        <v>687</v>
      </c>
      <c r="B682">
        <v>137.61000000000001</v>
      </c>
      <c r="C682">
        <v>362.85</v>
      </c>
      <c r="D682">
        <v>94.39</v>
      </c>
      <c r="E682">
        <v>161.57</v>
      </c>
      <c r="F682">
        <v>510.75</v>
      </c>
    </row>
    <row r="683" spans="1:6" x14ac:dyDescent="0.25">
      <c r="A683" t="s">
        <v>688</v>
      </c>
      <c r="B683">
        <v>136.87</v>
      </c>
      <c r="C683">
        <v>363.12</v>
      </c>
      <c r="D683">
        <v>93.6</v>
      </c>
      <c r="E683">
        <v>162.28</v>
      </c>
      <c r="F683">
        <v>508.21</v>
      </c>
    </row>
    <row r="684" spans="1:6" x14ac:dyDescent="0.25">
      <c r="A684" t="s">
        <v>689</v>
      </c>
      <c r="B684">
        <v>138.37</v>
      </c>
      <c r="C684">
        <v>368.18</v>
      </c>
      <c r="D684">
        <v>91.43</v>
      </c>
      <c r="E684">
        <v>160.41</v>
      </c>
      <c r="F684">
        <v>496.09</v>
      </c>
    </row>
    <row r="685" spans="1:6" x14ac:dyDescent="0.25">
      <c r="A685" t="s">
        <v>690</v>
      </c>
      <c r="B685">
        <v>138.91</v>
      </c>
      <c r="C685">
        <v>367.44</v>
      </c>
      <c r="D685">
        <v>91.62</v>
      </c>
      <c r="E685">
        <v>160.6</v>
      </c>
      <c r="F685">
        <v>494.61</v>
      </c>
    </row>
    <row r="686" spans="1:6" x14ac:dyDescent="0.25">
      <c r="A686" t="s">
        <v>691</v>
      </c>
      <c r="B686">
        <v>139.05000000000001</v>
      </c>
      <c r="C686">
        <v>366.25</v>
      </c>
      <c r="D686">
        <v>92.96</v>
      </c>
      <c r="E686">
        <v>159.75</v>
      </c>
      <c r="F686">
        <v>492.62</v>
      </c>
    </row>
    <row r="687" spans="1:6" x14ac:dyDescent="0.25">
      <c r="A687" t="s">
        <v>692</v>
      </c>
      <c r="B687">
        <v>140.19</v>
      </c>
      <c r="C687">
        <v>366.83</v>
      </c>
      <c r="D687">
        <v>93.4</v>
      </c>
      <c r="E687">
        <v>158.80000000000001</v>
      </c>
      <c r="F687">
        <v>490.02</v>
      </c>
    </row>
    <row r="688" spans="1:6" x14ac:dyDescent="0.25">
      <c r="A688" t="s">
        <v>693</v>
      </c>
      <c r="B688">
        <v>140.16</v>
      </c>
      <c r="C688">
        <v>366.75</v>
      </c>
      <c r="D688">
        <v>93.19</v>
      </c>
      <c r="E688">
        <v>157.86000000000001</v>
      </c>
      <c r="F688">
        <v>490.28</v>
      </c>
    </row>
    <row r="689" spans="1:6" x14ac:dyDescent="0.25">
      <c r="A689" t="s">
        <v>694</v>
      </c>
      <c r="B689">
        <v>139.1</v>
      </c>
      <c r="C689">
        <v>365.73</v>
      </c>
      <c r="D689">
        <v>93.03</v>
      </c>
      <c r="E689">
        <v>157.96</v>
      </c>
      <c r="F689">
        <v>489.88</v>
      </c>
    </row>
    <row r="690" spans="1:6" x14ac:dyDescent="0.25">
      <c r="A690" t="s">
        <v>695</v>
      </c>
      <c r="B690">
        <v>137.04</v>
      </c>
      <c r="C690">
        <v>362.87</v>
      </c>
      <c r="D690">
        <v>92.6</v>
      </c>
      <c r="E690">
        <v>157.06</v>
      </c>
      <c r="F690">
        <v>486.16</v>
      </c>
    </row>
    <row r="691" spans="1:6" x14ac:dyDescent="0.25">
      <c r="A691" t="s">
        <v>696</v>
      </c>
      <c r="B691">
        <v>135.36000000000001</v>
      </c>
      <c r="C691">
        <v>365.46</v>
      </c>
      <c r="D691">
        <v>94.18</v>
      </c>
      <c r="E691">
        <v>158.86000000000001</v>
      </c>
      <c r="F691">
        <v>493.8</v>
      </c>
    </row>
    <row r="692" spans="1:6" x14ac:dyDescent="0.25">
      <c r="A692" t="s">
        <v>697</v>
      </c>
      <c r="B692">
        <v>134.52000000000001</v>
      </c>
      <c r="C692">
        <v>364.86</v>
      </c>
      <c r="D692">
        <v>92.95</v>
      </c>
      <c r="E692">
        <v>156.76</v>
      </c>
      <c r="F692">
        <v>496.16</v>
      </c>
    </row>
    <row r="693" spans="1:6" x14ac:dyDescent="0.25">
      <c r="A693" t="s">
        <v>698</v>
      </c>
      <c r="B693">
        <v>131.35</v>
      </c>
      <c r="C693">
        <v>362.98</v>
      </c>
      <c r="D693">
        <v>92.27</v>
      </c>
      <c r="E693">
        <v>155.82</v>
      </c>
      <c r="F693">
        <v>500.47</v>
      </c>
    </row>
    <row r="694" spans="1:6" x14ac:dyDescent="0.25">
      <c r="A694" t="s">
        <v>699</v>
      </c>
      <c r="B694">
        <v>130.69999999999999</v>
      </c>
      <c r="C694">
        <v>358.28</v>
      </c>
      <c r="D694">
        <v>92.89</v>
      </c>
      <c r="E694">
        <v>154.65</v>
      </c>
      <c r="F694">
        <v>503.41</v>
      </c>
    </row>
    <row r="695" spans="1:6" x14ac:dyDescent="0.25">
      <c r="A695" t="s">
        <v>700</v>
      </c>
      <c r="B695">
        <v>131.32</v>
      </c>
      <c r="C695">
        <v>366.54</v>
      </c>
      <c r="D695">
        <v>90.46</v>
      </c>
      <c r="E695">
        <v>151.88999999999999</v>
      </c>
      <c r="F695">
        <v>517.33000000000004</v>
      </c>
    </row>
    <row r="696" spans="1:6" x14ac:dyDescent="0.25">
      <c r="A696" t="s">
        <v>701</v>
      </c>
      <c r="B696">
        <v>131.27000000000001</v>
      </c>
      <c r="C696">
        <v>366.55</v>
      </c>
      <c r="D696">
        <v>89.66</v>
      </c>
      <c r="E696">
        <v>151.38</v>
      </c>
      <c r="F696">
        <v>514.23</v>
      </c>
    </row>
    <row r="697" spans="1:6" x14ac:dyDescent="0.25">
      <c r="A697" t="s">
        <v>702</v>
      </c>
      <c r="B697">
        <v>132.03</v>
      </c>
      <c r="C697">
        <v>363.54</v>
      </c>
      <c r="D697">
        <v>91.1</v>
      </c>
      <c r="E697">
        <v>150.04</v>
      </c>
      <c r="F697">
        <v>512.29999999999995</v>
      </c>
    </row>
    <row r="698" spans="1:6" x14ac:dyDescent="0.25">
      <c r="A698" t="s">
        <v>703</v>
      </c>
      <c r="B698">
        <v>133.72</v>
      </c>
      <c r="C698">
        <v>366.41</v>
      </c>
      <c r="D698">
        <v>91.03</v>
      </c>
      <c r="E698">
        <v>149.49</v>
      </c>
      <c r="F698">
        <v>518.04</v>
      </c>
    </row>
    <row r="699" spans="1:6" x14ac:dyDescent="0.25">
      <c r="A699" t="s">
        <v>704</v>
      </c>
      <c r="B699">
        <v>135.63999999999999</v>
      </c>
      <c r="C699">
        <v>363.2</v>
      </c>
      <c r="D699">
        <v>90</v>
      </c>
      <c r="E699">
        <v>147.86000000000001</v>
      </c>
      <c r="F699">
        <v>516.63</v>
      </c>
    </row>
    <row r="700" spans="1:6" x14ac:dyDescent="0.25">
      <c r="A700" t="s">
        <v>705</v>
      </c>
      <c r="B700">
        <v>128.79</v>
      </c>
      <c r="C700">
        <v>361.09</v>
      </c>
      <c r="D700">
        <v>90.63</v>
      </c>
      <c r="E700">
        <v>147.41</v>
      </c>
      <c r="F700">
        <v>517.82000000000005</v>
      </c>
    </row>
    <row r="701" spans="1:6" x14ac:dyDescent="0.25">
      <c r="A701" t="s">
        <v>706</v>
      </c>
      <c r="B701">
        <v>129.76</v>
      </c>
      <c r="C701">
        <v>364.73</v>
      </c>
      <c r="D701">
        <v>91.85</v>
      </c>
      <c r="E701">
        <v>148.97</v>
      </c>
      <c r="F701">
        <v>518.5</v>
      </c>
    </row>
    <row r="702" spans="1:6" x14ac:dyDescent="0.25">
      <c r="A702" t="s">
        <v>707</v>
      </c>
      <c r="B702">
        <v>128.05000000000001</v>
      </c>
      <c r="C702">
        <v>361.42</v>
      </c>
      <c r="D702">
        <v>93.67</v>
      </c>
      <c r="E702">
        <v>148.99</v>
      </c>
      <c r="F702">
        <v>516.64</v>
      </c>
    </row>
    <row r="703" spans="1:6" x14ac:dyDescent="0.25">
      <c r="A703" t="s">
        <v>708</v>
      </c>
      <c r="B703">
        <v>130.62</v>
      </c>
      <c r="C703">
        <v>366.68</v>
      </c>
      <c r="D703">
        <v>94.18</v>
      </c>
      <c r="E703">
        <v>147.91</v>
      </c>
      <c r="F703">
        <v>515.58000000000004</v>
      </c>
    </row>
    <row r="704" spans="1:6" x14ac:dyDescent="0.25">
      <c r="A704" t="s">
        <v>709</v>
      </c>
      <c r="B704">
        <v>131.28</v>
      </c>
      <c r="C704">
        <v>370.99</v>
      </c>
      <c r="D704">
        <v>93.95</v>
      </c>
      <c r="E704">
        <v>147.19</v>
      </c>
      <c r="F704">
        <v>519.29</v>
      </c>
    </row>
    <row r="705" spans="1:6" x14ac:dyDescent="0.25">
      <c r="A705" t="s">
        <v>710</v>
      </c>
      <c r="B705">
        <v>133.72</v>
      </c>
      <c r="C705">
        <v>370.93</v>
      </c>
      <c r="D705">
        <v>93.58</v>
      </c>
      <c r="E705">
        <v>145.53</v>
      </c>
      <c r="F705">
        <v>502.39</v>
      </c>
    </row>
    <row r="706" spans="1:6" x14ac:dyDescent="0.25">
      <c r="A706" t="s">
        <v>711</v>
      </c>
      <c r="B706">
        <v>135.91</v>
      </c>
      <c r="C706">
        <v>374.7</v>
      </c>
      <c r="D706">
        <v>95.01</v>
      </c>
      <c r="E706">
        <v>144.79</v>
      </c>
      <c r="F706">
        <v>507.6</v>
      </c>
    </row>
    <row r="707" spans="1:6" x14ac:dyDescent="0.25">
      <c r="A707" t="s">
        <v>712</v>
      </c>
      <c r="B707">
        <v>135.12</v>
      </c>
      <c r="C707">
        <v>370.7</v>
      </c>
      <c r="D707">
        <v>95.06</v>
      </c>
      <c r="E707">
        <v>144.46</v>
      </c>
      <c r="F707">
        <v>510.48</v>
      </c>
    </row>
    <row r="708" spans="1:6" x14ac:dyDescent="0.25">
      <c r="A708" t="s">
        <v>713</v>
      </c>
      <c r="B708">
        <v>135.4</v>
      </c>
      <c r="C708">
        <v>369.54</v>
      </c>
      <c r="D708">
        <v>95.62</v>
      </c>
      <c r="E708">
        <v>144.79</v>
      </c>
      <c r="F708">
        <v>513.77</v>
      </c>
    </row>
    <row r="709" spans="1:6" x14ac:dyDescent="0.25">
      <c r="A709" t="s">
        <v>714</v>
      </c>
      <c r="B709">
        <v>137.18</v>
      </c>
      <c r="C709">
        <v>369.95</v>
      </c>
      <c r="D709">
        <v>95.11</v>
      </c>
      <c r="E709">
        <v>144.6</v>
      </c>
      <c r="F709">
        <v>510.64</v>
      </c>
    </row>
    <row r="710" spans="1:6" x14ac:dyDescent="0.25">
      <c r="A710" t="s">
        <v>715</v>
      </c>
      <c r="B710">
        <v>135.68</v>
      </c>
      <c r="C710">
        <v>365.27</v>
      </c>
      <c r="D710">
        <v>95.52</v>
      </c>
      <c r="E710">
        <v>144.26</v>
      </c>
      <c r="F710">
        <v>506.72</v>
      </c>
    </row>
    <row r="711" spans="1:6" x14ac:dyDescent="0.25">
      <c r="A711" t="s">
        <v>716</v>
      </c>
      <c r="B711">
        <v>134.97</v>
      </c>
      <c r="C711">
        <v>369.55</v>
      </c>
      <c r="D711">
        <v>95.56</v>
      </c>
      <c r="E711">
        <v>144.56</v>
      </c>
      <c r="F711">
        <v>502.51</v>
      </c>
    </row>
    <row r="712" spans="1:6" x14ac:dyDescent="0.25">
      <c r="A712" t="s">
        <v>717</v>
      </c>
      <c r="B712">
        <v>134.03</v>
      </c>
      <c r="C712">
        <v>362.12</v>
      </c>
      <c r="D712">
        <v>95.98</v>
      </c>
      <c r="E712">
        <v>144.12</v>
      </c>
      <c r="F712">
        <v>503.62</v>
      </c>
    </row>
    <row r="713" spans="1:6" x14ac:dyDescent="0.25">
      <c r="A713" t="s">
        <v>718</v>
      </c>
      <c r="B713">
        <v>135.63999999999999</v>
      </c>
      <c r="C713">
        <v>368.31</v>
      </c>
      <c r="D713">
        <v>93.69</v>
      </c>
      <c r="E713">
        <v>142.82</v>
      </c>
      <c r="F713">
        <v>506.94</v>
      </c>
    </row>
    <row r="714" spans="1:6" x14ac:dyDescent="0.25">
      <c r="A714" t="s">
        <v>719</v>
      </c>
      <c r="B714">
        <v>133.35</v>
      </c>
      <c r="C714">
        <v>361.94</v>
      </c>
      <c r="D714">
        <v>94.79</v>
      </c>
      <c r="E714">
        <v>141.21</v>
      </c>
      <c r="F714">
        <v>505.61</v>
      </c>
    </row>
    <row r="715" spans="1:6" x14ac:dyDescent="0.25">
      <c r="A715" t="s">
        <v>720</v>
      </c>
      <c r="B715">
        <v>132.36000000000001</v>
      </c>
      <c r="C715">
        <v>361.8</v>
      </c>
      <c r="D715">
        <v>95.37</v>
      </c>
      <c r="E715">
        <v>139.97999999999999</v>
      </c>
      <c r="F715">
        <v>507.54</v>
      </c>
    </row>
    <row r="716" spans="1:6" x14ac:dyDescent="0.25">
      <c r="A716" t="s">
        <v>721</v>
      </c>
      <c r="B716">
        <v>130.84</v>
      </c>
      <c r="C716">
        <v>358.29</v>
      </c>
      <c r="D716">
        <v>95</v>
      </c>
      <c r="E716">
        <v>137.47999999999999</v>
      </c>
      <c r="F716">
        <v>509.52</v>
      </c>
    </row>
    <row r="717" spans="1:6" x14ac:dyDescent="0.25">
      <c r="A717" t="s">
        <v>722</v>
      </c>
      <c r="B717">
        <v>131.34</v>
      </c>
      <c r="C717">
        <v>361.21</v>
      </c>
      <c r="D717">
        <v>94.01</v>
      </c>
      <c r="E717">
        <v>138.09</v>
      </c>
      <c r="F717">
        <v>508.24</v>
      </c>
    </row>
    <row r="718" spans="1:6" x14ac:dyDescent="0.25">
      <c r="A718" t="s">
        <v>723</v>
      </c>
      <c r="B718">
        <v>129.01</v>
      </c>
      <c r="C718">
        <v>352.44</v>
      </c>
      <c r="D718">
        <v>93.3</v>
      </c>
      <c r="E718">
        <v>136.07</v>
      </c>
      <c r="F718">
        <v>506.17</v>
      </c>
    </row>
    <row r="719" spans="1:6" x14ac:dyDescent="0.25">
      <c r="A719" t="s">
        <v>724</v>
      </c>
      <c r="B719">
        <v>130.6</v>
      </c>
      <c r="C719">
        <v>354.89</v>
      </c>
      <c r="D719">
        <v>93.27</v>
      </c>
      <c r="E719">
        <v>136.47999999999999</v>
      </c>
      <c r="F719">
        <v>504.04</v>
      </c>
    </row>
    <row r="720" spans="1:6" x14ac:dyDescent="0.25">
      <c r="A720" t="s">
        <v>725</v>
      </c>
      <c r="B720">
        <v>129.74</v>
      </c>
      <c r="C720">
        <v>352.28</v>
      </c>
      <c r="D720">
        <v>94.43</v>
      </c>
      <c r="E720">
        <v>135.81</v>
      </c>
      <c r="F720">
        <v>505.07</v>
      </c>
    </row>
    <row r="721" spans="1:6" x14ac:dyDescent="0.25">
      <c r="A721" t="s">
        <v>726</v>
      </c>
      <c r="B721">
        <v>129.02000000000001</v>
      </c>
      <c r="C721">
        <v>348.37</v>
      </c>
      <c r="D721">
        <v>95.93</v>
      </c>
      <c r="E721">
        <v>135.87</v>
      </c>
      <c r="F721">
        <v>500.97</v>
      </c>
    </row>
    <row r="722" spans="1:6" x14ac:dyDescent="0.25">
      <c r="A722" t="s">
        <v>727</v>
      </c>
      <c r="B722">
        <v>127.88</v>
      </c>
      <c r="C722">
        <v>344.73</v>
      </c>
      <c r="D722">
        <v>97.66</v>
      </c>
      <c r="E722">
        <v>134.85</v>
      </c>
      <c r="F722">
        <v>498.56</v>
      </c>
    </row>
    <row r="723" spans="1:6" x14ac:dyDescent="0.25">
      <c r="A723" t="s">
        <v>728</v>
      </c>
      <c r="B723">
        <v>126.29</v>
      </c>
      <c r="C723">
        <v>340.35</v>
      </c>
      <c r="D723">
        <v>98.87</v>
      </c>
      <c r="E723">
        <v>133.36000000000001</v>
      </c>
      <c r="F723">
        <v>503.47</v>
      </c>
    </row>
    <row r="724" spans="1:6" x14ac:dyDescent="0.25">
      <c r="A724" t="s">
        <v>729</v>
      </c>
      <c r="B724">
        <v>125.26</v>
      </c>
      <c r="C724">
        <v>338.15</v>
      </c>
      <c r="D724">
        <v>95.73</v>
      </c>
      <c r="E724">
        <v>131.03</v>
      </c>
      <c r="F724">
        <v>499.22</v>
      </c>
    </row>
    <row r="725" spans="1:6" x14ac:dyDescent="0.25">
      <c r="A725" t="s">
        <v>730</v>
      </c>
      <c r="B725">
        <v>122.91</v>
      </c>
      <c r="C725">
        <v>330.37</v>
      </c>
      <c r="D725">
        <v>95.92</v>
      </c>
      <c r="E725">
        <v>131.13999999999999</v>
      </c>
      <c r="F725">
        <v>502.94</v>
      </c>
    </row>
    <row r="726" spans="1:6" x14ac:dyDescent="0.25">
      <c r="A726" t="s">
        <v>731</v>
      </c>
      <c r="B726">
        <v>123.29</v>
      </c>
      <c r="C726">
        <v>329.59</v>
      </c>
      <c r="D726">
        <v>95.94</v>
      </c>
      <c r="E726">
        <v>129.59</v>
      </c>
      <c r="F726">
        <v>497.71</v>
      </c>
    </row>
    <row r="727" spans="1:6" x14ac:dyDescent="0.25">
      <c r="A727" t="s">
        <v>732</v>
      </c>
      <c r="B727">
        <v>121.02</v>
      </c>
      <c r="C727">
        <v>322.26</v>
      </c>
      <c r="D727">
        <v>95.64</v>
      </c>
      <c r="E727">
        <v>127.96</v>
      </c>
      <c r="F727">
        <v>492.7</v>
      </c>
    </row>
    <row r="728" spans="1:6" x14ac:dyDescent="0.25">
      <c r="A728" t="s">
        <v>733</v>
      </c>
      <c r="B728">
        <v>121.13</v>
      </c>
      <c r="C728">
        <v>320.39</v>
      </c>
      <c r="D728">
        <v>97.5</v>
      </c>
      <c r="E728">
        <v>132.74</v>
      </c>
      <c r="F728">
        <v>496.18</v>
      </c>
    </row>
    <row r="729" spans="1:6" x14ac:dyDescent="0.25">
      <c r="A729" t="s">
        <v>734</v>
      </c>
      <c r="B729">
        <v>124.43</v>
      </c>
      <c r="C729">
        <v>332.87</v>
      </c>
      <c r="D729">
        <v>98.4</v>
      </c>
      <c r="E729">
        <v>132.4</v>
      </c>
      <c r="F729">
        <v>497.91</v>
      </c>
    </row>
    <row r="730" spans="1:6" x14ac:dyDescent="0.25">
      <c r="A730" t="s">
        <v>735</v>
      </c>
      <c r="B730">
        <v>137.5</v>
      </c>
      <c r="C730">
        <v>322.97000000000003</v>
      </c>
      <c r="D730">
        <v>98.22</v>
      </c>
      <c r="E730">
        <v>133.13</v>
      </c>
      <c r="F730">
        <v>493.02</v>
      </c>
    </row>
    <row r="731" spans="1:6" x14ac:dyDescent="0.25">
      <c r="A731" t="s">
        <v>736</v>
      </c>
      <c r="B731">
        <v>135.21</v>
      </c>
      <c r="C731">
        <v>321.77999999999997</v>
      </c>
      <c r="D731">
        <v>99.18</v>
      </c>
      <c r="E731">
        <v>132.97</v>
      </c>
      <c r="F731">
        <v>489.8</v>
      </c>
    </row>
    <row r="732" spans="1:6" x14ac:dyDescent="0.25">
      <c r="A732" t="s">
        <v>737</v>
      </c>
      <c r="B732">
        <v>134.32</v>
      </c>
      <c r="C732">
        <v>319.19</v>
      </c>
      <c r="D732">
        <v>100.66</v>
      </c>
      <c r="E732">
        <v>134.81</v>
      </c>
      <c r="F732">
        <v>494.93</v>
      </c>
    </row>
    <row r="733" spans="1:6" x14ac:dyDescent="0.25">
      <c r="A733" t="s">
        <v>738</v>
      </c>
      <c r="B733">
        <v>136.44999999999999</v>
      </c>
      <c r="C733">
        <v>323.74</v>
      </c>
      <c r="D733">
        <v>102.41</v>
      </c>
      <c r="E733">
        <v>137.01</v>
      </c>
      <c r="F733">
        <v>499.25</v>
      </c>
    </row>
    <row r="734" spans="1:6" x14ac:dyDescent="0.25">
      <c r="A734" t="s">
        <v>739</v>
      </c>
      <c r="B734">
        <v>136.66</v>
      </c>
      <c r="C734">
        <v>322.56</v>
      </c>
      <c r="D734">
        <v>102.35</v>
      </c>
      <c r="E734">
        <v>137.6</v>
      </c>
      <c r="F734">
        <v>503.41</v>
      </c>
    </row>
    <row r="735" spans="1:6" x14ac:dyDescent="0.25">
      <c r="A735" t="s">
        <v>740</v>
      </c>
      <c r="B735">
        <v>138.4</v>
      </c>
      <c r="C735">
        <v>324.45999999999998</v>
      </c>
      <c r="D735">
        <v>100.94</v>
      </c>
      <c r="E735">
        <v>139.13</v>
      </c>
      <c r="F735">
        <v>503.96</v>
      </c>
    </row>
    <row r="736" spans="1:6" x14ac:dyDescent="0.25">
      <c r="A736" t="s">
        <v>741</v>
      </c>
      <c r="B736">
        <v>137.79</v>
      </c>
      <c r="C736">
        <v>325.02999999999997</v>
      </c>
      <c r="D736">
        <v>99.63</v>
      </c>
      <c r="E736">
        <v>139.43</v>
      </c>
      <c r="F736">
        <v>505.26</v>
      </c>
    </row>
    <row r="737" spans="1:6" x14ac:dyDescent="0.25">
      <c r="A737" t="s">
        <v>742</v>
      </c>
      <c r="B737">
        <v>136.07</v>
      </c>
      <c r="C737">
        <v>320.23</v>
      </c>
      <c r="D737">
        <v>99.56</v>
      </c>
      <c r="E737">
        <v>139.57</v>
      </c>
      <c r="F737">
        <v>506.54</v>
      </c>
    </row>
    <row r="738" spans="1:6" x14ac:dyDescent="0.25">
      <c r="A738" t="s">
        <v>743</v>
      </c>
      <c r="B738">
        <v>137.66</v>
      </c>
      <c r="C738">
        <v>323.58</v>
      </c>
      <c r="D738">
        <v>96.48</v>
      </c>
      <c r="E738">
        <v>137.5</v>
      </c>
      <c r="F738">
        <v>493.53</v>
      </c>
    </row>
    <row r="739" spans="1:6" x14ac:dyDescent="0.25">
      <c r="A739" t="s">
        <v>744</v>
      </c>
      <c r="B739">
        <v>139.22999999999999</v>
      </c>
      <c r="C739">
        <v>324.81</v>
      </c>
      <c r="D739">
        <v>96.5</v>
      </c>
      <c r="E739">
        <v>137.83000000000001</v>
      </c>
      <c r="F739">
        <v>492.2</v>
      </c>
    </row>
    <row r="740" spans="1:6" x14ac:dyDescent="0.25">
      <c r="A740" t="s">
        <v>745</v>
      </c>
      <c r="B740">
        <v>136.76</v>
      </c>
      <c r="C740">
        <v>320.87</v>
      </c>
      <c r="D740">
        <v>100.08</v>
      </c>
      <c r="E740">
        <v>137.35</v>
      </c>
      <c r="F740">
        <v>492.31</v>
      </c>
    </row>
    <row r="741" spans="1:6" x14ac:dyDescent="0.25">
      <c r="A741" t="s">
        <v>746</v>
      </c>
      <c r="B741">
        <v>137.12</v>
      </c>
      <c r="C741">
        <v>322.27</v>
      </c>
      <c r="D741">
        <v>100.51</v>
      </c>
      <c r="E741">
        <v>136.52000000000001</v>
      </c>
      <c r="F741">
        <v>494.44</v>
      </c>
    </row>
    <row r="742" spans="1:6" x14ac:dyDescent="0.25">
      <c r="A742" t="s">
        <v>747</v>
      </c>
      <c r="B742">
        <v>136.28</v>
      </c>
      <c r="C742">
        <v>319.77</v>
      </c>
      <c r="D742">
        <v>97.11</v>
      </c>
      <c r="E742">
        <v>136.84</v>
      </c>
      <c r="F742">
        <v>492.84</v>
      </c>
    </row>
    <row r="743" spans="1:6" x14ac:dyDescent="0.25">
      <c r="A743" t="s">
        <v>748</v>
      </c>
      <c r="B743">
        <v>133.80000000000001</v>
      </c>
      <c r="C743">
        <v>312.05</v>
      </c>
      <c r="D743">
        <v>98.76</v>
      </c>
      <c r="E743">
        <v>134.76</v>
      </c>
      <c r="F743">
        <v>484.78</v>
      </c>
    </row>
    <row r="744" spans="1:6" x14ac:dyDescent="0.25">
      <c r="A744" t="s">
        <v>749</v>
      </c>
      <c r="B744">
        <v>133.97</v>
      </c>
      <c r="C744">
        <v>311.66000000000003</v>
      </c>
      <c r="D744">
        <v>101.04</v>
      </c>
      <c r="E744">
        <v>134.19</v>
      </c>
      <c r="F744">
        <v>479.52</v>
      </c>
    </row>
    <row r="745" spans="1:6" x14ac:dyDescent="0.25">
      <c r="A745" t="s">
        <v>750</v>
      </c>
      <c r="B745">
        <v>131.18</v>
      </c>
      <c r="C745">
        <v>306.22000000000003</v>
      </c>
      <c r="D745">
        <v>104.96</v>
      </c>
      <c r="E745">
        <v>133.6</v>
      </c>
      <c r="F745">
        <v>478.44</v>
      </c>
    </row>
    <row r="746" spans="1:6" x14ac:dyDescent="0.25">
      <c r="A746" t="s">
        <v>751</v>
      </c>
      <c r="B746">
        <v>132.91</v>
      </c>
      <c r="C746">
        <v>314.44</v>
      </c>
      <c r="D746">
        <v>104.78</v>
      </c>
      <c r="E746">
        <v>134.59</v>
      </c>
      <c r="F746">
        <v>483.23</v>
      </c>
    </row>
    <row r="747" spans="1:6" x14ac:dyDescent="0.25">
      <c r="A747" t="s">
        <v>752</v>
      </c>
      <c r="B747">
        <v>129.63</v>
      </c>
      <c r="C747">
        <v>308.52</v>
      </c>
      <c r="D747">
        <v>106.55</v>
      </c>
      <c r="E747">
        <v>135.76</v>
      </c>
      <c r="F747">
        <v>473.48</v>
      </c>
    </row>
    <row r="748" spans="1:6" x14ac:dyDescent="0.25">
      <c r="A748" t="s">
        <v>753</v>
      </c>
      <c r="B748">
        <v>131.06</v>
      </c>
      <c r="C748">
        <v>306.45999999999998</v>
      </c>
      <c r="D748">
        <v>108.26</v>
      </c>
      <c r="E748">
        <v>138.16</v>
      </c>
      <c r="F748">
        <v>479.03</v>
      </c>
    </row>
    <row r="749" spans="1:6" x14ac:dyDescent="0.25">
      <c r="A749" t="s">
        <v>754</v>
      </c>
      <c r="B749">
        <v>129.31</v>
      </c>
      <c r="C749">
        <v>305.63</v>
      </c>
      <c r="D749">
        <v>108.92</v>
      </c>
      <c r="E749">
        <v>136.47</v>
      </c>
      <c r="F749">
        <v>473.05</v>
      </c>
    </row>
    <row r="750" spans="1:6" x14ac:dyDescent="0.25">
      <c r="A750" t="s">
        <v>755</v>
      </c>
      <c r="B750">
        <v>127.36</v>
      </c>
      <c r="C750">
        <v>305</v>
      </c>
      <c r="D750">
        <v>105.48</v>
      </c>
      <c r="E750">
        <v>135.66999999999999</v>
      </c>
      <c r="F750">
        <v>474.66</v>
      </c>
    </row>
    <row r="751" spans="1:6" x14ac:dyDescent="0.25">
      <c r="A751" t="s">
        <v>756</v>
      </c>
      <c r="B751">
        <v>129.87</v>
      </c>
      <c r="C751">
        <v>310.27</v>
      </c>
      <c r="D751">
        <v>105.32</v>
      </c>
      <c r="E751">
        <v>137.1</v>
      </c>
      <c r="F751">
        <v>479.2</v>
      </c>
    </row>
    <row r="752" spans="1:6" x14ac:dyDescent="0.25">
      <c r="A752" t="s">
        <v>757</v>
      </c>
      <c r="B752">
        <v>129.02000000000001</v>
      </c>
      <c r="C752">
        <v>309.76</v>
      </c>
      <c r="D752">
        <v>104.15</v>
      </c>
      <c r="E752">
        <v>136.41999999999999</v>
      </c>
      <c r="F752">
        <v>475.27</v>
      </c>
    </row>
    <row r="753" spans="1:6" x14ac:dyDescent="0.25">
      <c r="A753" t="s">
        <v>758</v>
      </c>
      <c r="B753">
        <v>129.21</v>
      </c>
      <c r="C753">
        <v>312.22000000000003</v>
      </c>
      <c r="D753">
        <v>103.99</v>
      </c>
      <c r="E753">
        <v>137.74</v>
      </c>
      <c r="F753">
        <v>470.61</v>
      </c>
    </row>
    <row r="754" spans="1:6" x14ac:dyDescent="0.25">
      <c r="A754" t="s">
        <v>759</v>
      </c>
      <c r="B754">
        <v>132.47999999999999</v>
      </c>
      <c r="C754">
        <v>313.43</v>
      </c>
      <c r="D754">
        <v>105.48</v>
      </c>
      <c r="E754">
        <v>138.83000000000001</v>
      </c>
      <c r="F754">
        <v>462.15</v>
      </c>
    </row>
    <row r="755" spans="1:6" x14ac:dyDescent="0.25">
      <c r="A755" t="s">
        <v>760</v>
      </c>
      <c r="B755">
        <v>136.74</v>
      </c>
      <c r="C755">
        <v>321.13</v>
      </c>
      <c r="D755">
        <v>106.32</v>
      </c>
      <c r="E755">
        <v>139.41999999999999</v>
      </c>
      <c r="F755">
        <v>451.38</v>
      </c>
    </row>
    <row r="756" spans="1:6" x14ac:dyDescent="0.25">
      <c r="A756" t="s">
        <v>761</v>
      </c>
      <c r="B756">
        <v>136.91</v>
      </c>
      <c r="C756">
        <v>321.52999999999997</v>
      </c>
      <c r="D756">
        <v>106.6</v>
      </c>
      <c r="E756">
        <v>139.6</v>
      </c>
      <c r="F756">
        <v>456.45</v>
      </c>
    </row>
    <row r="757" spans="1:6" x14ac:dyDescent="0.25">
      <c r="A757" t="s">
        <v>762</v>
      </c>
      <c r="B757">
        <v>136.1</v>
      </c>
      <c r="C757">
        <v>322.66000000000003</v>
      </c>
      <c r="D757">
        <v>105.75</v>
      </c>
      <c r="E757">
        <v>139.31</v>
      </c>
      <c r="F757">
        <v>457.05</v>
      </c>
    </row>
    <row r="758" spans="1:6" x14ac:dyDescent="0.25">
      <c r="A758" t="s">
        <v>763</v>
      </c>
      <c r="B758">
        <v>136.80000000000001</v>
      </c>
      <c r="C758">
        <v>330.95</v>
      </c>
      <c r="D758">
        <v>107.4</v>
      </c>
      <c r="E758">
        <v>139.72</v>
      </c>
      <c r="F758">
        <v>454.14</v>
      </c>
    </row>
    <row r="759" spans="1:6" x14ac:dyDescent="0.25">
      <c r="A759" t="s">
        <v>764</v>
      </c>
      <c r="B759">
        <v>135.41999999999999</v>
      </c>
      <c r="C759">
        <v>328.37</v>
      </c>
      <c r="D759">
        <v>105.51</v>
      </c>
      <c r="E759">
        <v>137.06</v>
      </c>
      <c r="F759">
        <v>450.61</v>
      </c>
    </row>
    <row r="760" spans="1:6" x14ac:dyDescent="0.25">
      <c r="A760" t="s">
        <v>765</v>
      </c>
      <c r="B760">
        <v>134.06</v>
      </c>
      <c r="C760">
        <v>324.18</v>
      </c>
      <c r="D760">
        <v>106.46</v>
      </c>
      <c r="E760">
        <v>136.99</v>
      </c>
      <c r="F760">
        <v>450.67</v>
      </c>
    </row>
    <row r="761" spans="1:6" x14ac:dyDescent="0.25">
      <c r="A761" t="s">
        <v>766</v>
      </c>
      <c r="B761">
        <v>135.63</v>
      </c>
      <c r="C761">
        <v>330.21</v>
      </c>
      <c r="D761">
        <v>103.45</v>
      </c>
      <c r="E761">
        <v>135.22999999999999</v>
      </c>
      <c r="F761">
        <v>450.18</v>
      </c>
    </row>
    <row r="762" spans="1:6" x14ac:dyDescent="0.25">
      <c r="A762" t="s">
        <v>767</v>
      </c>
      <c r="B762">
        <v>135.09</v>
      </c>
      <c r="C762">
        <v>326.62</v>
      </c>
      <c r="D762">
        <v>104.76</v>
      </c>
      <c r="E762">
        <v>134.63999999999999</v>
      </c>
      <c r="F762">
        <v>451.48</v>
      </c>
    </row>
    <row r="763" spans="1:6" x14ac:dyDescent="0.25">
      <c r="A763" t="s">
        <v>768</v>
      </c>
      <c r="B763">
        <v>133.99</v>
      </c>
      <c r="C763">
        <v>322.36</v>
      </c>
      <c r="D763">
        <v>103.26</v>
      </c>
      <c r="E763">
        <v>134.54</v>
      </c>
      <c r="F763">
        <v>453.51</v>
      </c>
    </row>
    <row r="764" spans="1:6" x14ac:dyDescent="0.25">
      <c r="A764" t="s">
        <v>769</v>
      </c>
      <c r="B764">
        <v>133.19</v>
      </c>
      <c r="C764">
        <v>325.26</v>
      </c>
      <c r="D764">
        <v>103.76</v>
      </c>
      <c r="E764">
        <v>135.69999999999999</v>
      </c>
      <c r="F764">
        <v>446.15</v>
      </c>
    </row>
    <row r="765" spans="1:6" x14ac:dyDescent="0.25">
      <c r="A765" t="s">
        <v>770</v>
      </c>
      <c r="B765">
        <v>134.49</v>
      </c>
      <c r="C765">
        <v>325.92</v>
      </c>
      <c r="D765">
        <v>102.88</v>
      </c>
      <c r="E765">
        <v>135.93</v>
      </c>
      <c r="F765">
        <v>449.77</v>
      </c>
    </row>
    <row r="766" spans="1:6" x14ac:dyDescent="0.25">
      <c r="A766" t="s">
        <v>771</v>
      </c>
      <c r="B766">
        <v>134.38</v>
      </c>
      <c r="C766">
        <v>321.14</v>
      </c>
      <c r="D766">
        <v>102.87</v>
      </c>
      <c r="E766">
        <v>137.44</v>
      </c>
      <c r="F766">
        <v>445.5</v>
      </c>
    </row>
    <row r="767" spans="1:6" x14ac:dyDescent="0.25">
      <c r="A767" t="s">
        <v>772</v>
      </c>
      <c r="B767">
        <v>134.88999999999999</v>
      </c>
      <c r="C767">
        <v>320.26</v>
      </c>
      <c r="D767">
        <v>100.75</v>
      </c>
      <c r="E767">
        <v>136.97999999999999</v>
      </c>
      <c r="F767">
        <v>445.81</v>
      </c>
    </row>
    <row r="768" spans="1:6" x14ac:dyDescent="0.25">
      <c r="A768" t="s">
        <v>773</v>
      </c>
      <c r="B768">
        <v>134.6</v>
      </c>
      <c r="C768">
        <v>321.27</v>
      </c>
      <c r="D768">
        <v>100.47</v>
      </c>
      <c r="E768">
        <v>138.69999999999999</v>
      </c>
      <c r="F768">
        <v>459.8</v>
      </c>
    </row>
    <row r="769" spans="1:6" x14ac:dyDescent="0.25">
      <c r="A769" t="s">
        <v>774</v>
      </c>
      <c r="B769">
        <v>133.30000000000001</v>
      </c>
      <c r="C769">
        <v>320.89</v>
      </c>
      <c r="D769">
        <v>99.5</v>
      </c>
      <c r="E769">
        <v>139.26</v>
      </c>
      <c r="F769">
        <v>461.02</v>
      </c>
    </row>
    <row r="770" spans="1:6" x14ac:dyDescent="0.25">
      <c r="A770" t="s">
        <v>775</v>
      </c>
      <c r="B770">
        <v>129.78</v>
      </c>
      <c r="C770">
        <v>316.29000000000002</v>
      </c>
      <c r="D770">
        <v>98.92</v>
      </c>
      <c r="E770">
        <v>138.13999999999999</v>
      </c>
      <c r="F770">
        <v>459.57</v>
      </c>
    </row>
    <row r="771" spans="1:6" x14ac:dyDescent="0.25">
      <c r="A771" t="s">
        <v>776</v>
      </c>
      <c r="B771">
        <v>128.66</v>
      </c>
      <c r="C771">
        <v>315.58999999999997</v>
      </c>
      <c r="D771">
        <v>98.09</v>
      </c>
      <c r="E771">
        <v>137.66</v>
      </c>
      <c r="F771">
        <v>457.54</v>
      </c>
    </row>
    <row r="772" spans="1:6" x14ac:dyDescent="0.25">
      <c r="A772" t="s">
        <v>777</v>
      </c>
      <c r="B772">
        <v>128.56</v>
      </c>
      <c r="C772">
        <v>312.64999999999998</v>
      </c>
      <c r="D772">
        <v>96.37</v>
      </c>
      <c r="E772">
        <v>137.83000000000001</v>
      </c>
      <c r="F772">
        <v>456.59</v>
      </c>
    </row>
    <row r="773" spans="1:6" x14ac:dyDescent="0.25">
      <c r="A773" t="s">
        <v>778</v>
      </c>
      <c r="B773">
        <v>131.12</v>
      </c>
      <c r="C773">
        <v>319.52</v>
      </c>
      <c r="D773">
        <v>97.09</v>
      </c>
      <c r="E773">
        <v>137.96</v>
      </c>
      <c r="F773">
        <v>457.84</v>
      </c>
    </row>
    <row r="774" spans="1:6" x14ac:dyDescent="0.25">
      <c r="A774" t="s">
        <v>779</v>
      </c>
      <c r="B774">
        <v>127.86</v>
      </c>
      <c r="C774">
        <v>315.08</v>
      </c>
      <c r="D774">
        <v>97.95</v>
      </c>
      <c r="E774">
        <v>137.03</v>
      </c>
      <c r="F774">
        <v>460.56</v>
      </c>
    </row>
    <row r="775" spans="1:6" x14ac:dyDescent="0.25">
      <c r="A775" t="s">
        <v>780</v>
      </c>
      <c r="B775">
        <v>127.16</v>
      </c>
      <c r="C775">
        <v>314.51</v>
      </c>
      <c r="D775">
        <v>98.51</v>
      </c>
      <c r="E775">
        <v>139.93</v>
      </c>
      <c r="F775">
        <v>465.55</v>
      </c>
    </row>
    <row r="776" spans="1:6" x14ac:dyDescent="0.25">
      <c r="A776" t="s">
        <v>781</v>
      </c>
      <c r="B776">
        <v>126.26</v>
      </c>
      <c r="C776">
        <v>309.24</v>
      </c>
      <c r="D776">
        <v>99.71</v>
      </c>
      <c r="E776">
        <v>139.46</v>
      </c>
      <c r="F776">
        <v>466.26</v>
      </c>
    </row>
    <row r="777" spans="1:6" x14ac:dyDescent="0.25">
      <c r="A777" t="s">
        <v>782</v>
      </c>
      <c r="B777">
        <v>128.69999999999999</v>
      </c>
      <c r="C777">
        <v>309.63</v>
      </c>
      <c r="D777">
        <v>98.23</v>
      </c>
      <c r="E777">
        <v>139.13999999999999</v>
      </c>
      <c r="F777">
        <v>462.07</v>
      </c>
    </row>
    <row r="778" spans="1:6" x14ac:dyDescent="0.25">
      <c r="A778" t="s">
        <v>783</v>
      </c>
      <c r="B778">
        <v>127.49</v>
      </c>
      <c r="C778">
        <v>313.07</v>
      </c>
      <c r="D778">
        <v>96.36</v>
      </c>
      <c r="E778">
        <v>140.6</v>
      </c>
      <c r="F778">
        <v>471.05</v>
      </c>
    </row>
    <row r="779" spans="1:6" x14ac:dyDescent="0.25">
      <c r="A779" t="s">
        <v>784</v>
      </c>
      <c r="B779">
        <v>128.56</v>
      </c>
      <c r="C779">
        <v>313.83</v>
      </c>
      <c r="D779">
        <v>98.01</v>
      </c>
      <c r="E779">
        <v>141.19999999999999</v>
      </c>
      <c r="F779">
        <v>473.98</v>
      </c>
    </row>
    <row r="780" spans="1:6" x14ac:dyDescent="0.25">
      <c r="A780" t="s">
        <v>785</v>
      </c>
      <c r="B780">
        <v>130.09</v>
      </c>
      <c r="C780">
        <v>315.95999999999998</v>
      </c>
      <c r="D780">
        <v>100.59</v>
      </c>
      <c r="E780">
        <v>144.88999999999999</v>
      </c>
      <c r="F780">
        <v>477.95</v>
      </c>
    </row>
    <row r="781" spans="1:6" x14ac:dyDescent="0.25">
      <c r="A781" t="s">
        <v>786</v>
      </c>
      <c r="B781">
        <v>128.34</v>
      </c>
      <c r="C781">
        <v>313</v>
      </c>
      <c r="D781">
        <v>100.51</v>
      </c>
      <c r="E781">
        <v>144.59</v>
      </c>
      <c r="F781">
        <v>475.22</v>
      </c>
    </row>
    <row r="782" spans="1:6" x14ac:dyDescent="0.25">
      <c r="A782" t="s">
        <v>787</v>
      </c>
      <c r="B782">
        <v>128.47</v>
      </c>
      <c r="C782">
        <v>314.87</v>
      </c>
      <c r="D782">
        <v>98.97</v>
      </c>
      <c r="E782">
        <v>143.75</v>
      </c>
      <c r="F782">
        <v>470.98</v>
      </c>
    </row>
    <row r="783" spans="1:6" x14ac:dyDescent="0.25">
      <c r="A783" t="s">
        <v>788</v>
      </c>
      <c r="B783">
        <v>128.44</v>
      </c>
      <c r="C783">
        <v>314.19</v>
      </c>
      <c r="D783">
        <v>98.47</v>
      </c>
      <c r="E783">
        <v>143.97</v>
      </c>
      <c r="F783">
        <v>469.7</v>
      </c>
    </row>
    <row r="784" spans="1:6" x14ac:dyDescent="0.25">
      <c r="A784" t="s">
        <v>789</v>
      </c>
      <c r="B784">
        <v>130.16</v>
      </c>
      <c r="C784">
        <v>317.92</v>
      </c>
      <c r="D784">
        <v>96.83</v>
      </c>
      <c r="E784">
        <v>145.91999999999999</v>
      </c>
      <c r="F784">
        <v>473.2</v>
      </c>
    </row>
    <row r="785" spans="1:6" x14ac:dyDescent="0.25">
      <c r="A785" t="s">
        <v>790</v>
      </c>
      <c r="B785">
        <v>130.29</v>
      </c>
      <c r="C785">
        <v>321.87</v>
      </c>
      <c r="D785">
        <v>96.35</v>
      </c>
      <c r="E785">
        <v>146.75</v>
      </c>
      <c r="F785">
        <v>477.77</v>
      </c>
    </row>
    <row r="786" spans="1:6" x14ac:dyDescent="0.25">
      <c r="A786" t="s">
        <v>791</v>
      </c>
      <c r="B786">
        <v>126.9</v>
      </c>
      <c r="C786">
        <v>319.60000000000002</v>
      </c>
      <c r="D786">
        <v>96.55</v>
      </c>
      <c r="E786">
        <v>146.06</v>
      </c>
      <c r="F786">
        <v>470.28</v>
      </c>
    </row>
    <row r="787" spans="1:6" x14ac:dyDescent="0.25">
      <c r="A787" t="s">
        <v>792</v>
      </c>
      <c r="B787">
        <v>127.24</v>
      </c>
      <c r="C787">
        <v>318.51</v>
      </c>
      <c r="D787">
        <v>96.28</v>
      </c>
      <c r="E787">
        <v>146.36000000000001</v>
      </c>
      <c r="F787">
        <v>472.27</v>
      </c>
    </row>
    <row r="788" spans="1:6" x14ac:dyDescent="0.25">
      <c r="A788" t="s">
        <v>793</v>
      </c>
      <c r="B788">
        <v>127.17</v>
      </c>
      <c r="C788">
        <v>319.33</v>
      </c>
      <c r="D788">
        <v>94.63</v>
      </c>
      <c r="E788">
        <v>145.47</v>
      </c>
      <c r="F788">
        <v>472.21</v>
      </c>
    </row>
    <row r="789" spans="1:6" x14ac:dyDescent="0.25">
      <c r="A789" t="s">
        <v>794</v>
      </c>
      <c r="B789">
        <v>130.31</v>
      </c>
      <c r="C789">
        <v>327.95</v>
      </c>
      <c r="D789">
        <v>95.83</v>
      </c>
      <c r="E789">
        <v>147.13999999999999</v>
      </c>
      <c r="F789">
        <v>472.16</v>
      </c>
    </row>
    <row r="790" spans="1:6" x14ac:dyDescent="0.25">
      <c r="A790" t="s">
        <v>795</v>
      </c>
      <c r="B790">
        <v>131.47</v>
      </c>
      <c r="C790">
        <v>327.54000000000002</v>
      </c>
      <c r="D790">
        <v>96.39</v>
      </c>
      <c r="E790">
        <v>147.87</v>
      </c>
      <c r="F790">
        <v>473.68</v>
      </c>
    </row>
    <row r="791" spans="1:6" x14ac:dyDescent="0.25">
      <c r="A791" t="s">
        <v>796</v>
      </c>
      <c r="B791">
        <v>131.33000000000001</v>
      </c>
      <c r="C791">
        <v>329.93</v>
      </c>
      <c r="D791">
        <v>93.62</v>
      </c>
      <c r="E791">
        <v>146.88999999999999</v>
      </c>
      <c r="F791">
        <v>470.44</v>
      </c>
    </row>
    <row r="792" spans="1:6" x14ac:dyDescent="0.25">
      <c r="A792" t="s">
        <v>797</v>
      </c>
      <c r="B792">
        <v>128.18</v>
      </c>
      <c r="C792">
        <v>322.47000000000003</v>
      </c>
      <c r="D792">
        <v>94.75</v>
      </c>
      <c r="E792">
        <v>146.06</v>
      </c>
      <c r="F792">
        <v>472.61</v>
      </c>
    </row>
    <row r="793" spans="1:6" x14ac:dyDescent="0.25">
      <c r="A793" t="s">
        <v>798</v>
      </c>
      <c r="B793">
        <v>128.05000000000001</v>
      </c>
      <c r="C793">
        <v>329.34</v>
      </c>
      <c r="D793">
        <v>94.45</v>
      </c>
      <c r="E793">
        <v>147.68</v>
      </c>
      <c r="F793">
        <v>475.21</v>
      </c>
    </row>
    <row r="794" spans="1:6" x14ac:dyDescent="0.25">
      <c r="A794" t="s">
        <v>799</v>
      </c>
      <c r="B794">
        <v>121.06</v>
      </c>
      <c r="C794">
        <v>342.22</v>
      </c>
      <c r="D794">
        <v>94.98</v>
      </c>
      <c r="E794">
        <v>146.80000000000001</v>
      </c>
      <c r="F794">
        <v>477.95</v>
      </c>
    </row>
    <row r="795" spans="1:6" x14ac:dyDescent="0.25">
      <c r="A795" t="s">
        <v>800</v>
      </c>
      <c r="B795">
        <v>120.38</v>
      </c>
      <c r="C795">
        <v>336.5</v>
      </c>
      <c r="D795">
        <v>94.84</v>
      </c>
      <c r="E795">
        <v>147.91</v>
      </c>
      <c r="F795">
        <v>475.84</v>
      </c>
    </row>
    <row r="796" spans="1:6" x14ac:dyDescent="0.25">
      <c r="A796" t="s">
        <v>801</v>
      </c>
      <c r="B796">
        <v>118.89</v>
      </c>
      <c r="C796">
        <v>335.19</v>
      </c>
      <c r="D796">
        <v>93.37</v>
      </c>
      <c r="E796">
        <v>145.05000000000001</v>
      </c>
      <c r="F796">
        <v>473.83</v>
      </c>
    </row>
    <row r="797" spans="1:6" x14ac:dyDescent="0.25">
      <c r="A797" t="s">
        <v>802</v>
      </c>
      <c r="B797">
        <v>118.08</v>
      </c>
      <c r="C797">
        <v>338.22</v>
      </c>
      <c r="D797">
        <v>92.94</v>
      </c>
      <c r="E797">
        <v>146.18</v>
      </c>
      <c r="F797">
        <v>471.69</v>
      </c>
    </row>
    <row r="798" spans="1:6" x14ac:dyDescent="0.25">
      <c r="A798" t="s">
        <v>803</v>
      </c>
      <c r="B798">
        <v>120.88</v>
      </c>
      <c r="C798">
        <v>346.22</v>
      </c>
      <c r="D798">
        <v>91.33</v>
      </c>
      <c r="E798">
        <v>144.4</v>
      </c>
      <c r="F798">
        <v>471.18</v>
      </c>
    </row>
    <row r="799" spans="1:6" x14ac:dyDescent="0.25">
      <c r="A799" t="s">
        <v>804</v>
      </c>
      <c r="B799">
        <v>122.59</v>
      </c>
      <c r="C799">
        <v>350.52</v>
      </c>
      <c r="D799">
        <v>90.71</v>
      </c>
      <c r="E799">
        <v>143.85</v>
      </c>
      <c r="F799">
        <v>467.72</v>
      </c>
    </row>
    <row r="800" spans="1:6" x14ac:dyDescent="0.25">
      <c r="A800" t="s">
        <v>805</v>
      </c>
      <c r="B800">
        <v>123.48</v>
      </c>
      <c r="C800">
        <v>337.1</v>
      </c>
      <c r="D800">
        <v>91.12</v>
      </c>
      <c r="E800">
        <v>143.58000000000001</v>
      </c>
      <c r="F800">
        <v>452.83</v>
      </c>
    </row>
    <row r="801" spans="1:6" x14ac:dyDescent="0.25">
      <c r="A801" t="s">
        <v>806</v>
      </c>
      <c r="B801">
        <v>124.24</v>
      </c>
      <c r="C801">
        <v>336.63</v>
      </c>
      <c r="D801">
        <v>90.72</v>
      </c>
      <c r="E801">
        <v>140.19999999999999</v>
      </c>
      <c r="F801">
        <v>449.17</v>
      </c>
    </row>
    <row r="802" spans="1:6" x14ac:dyDescent="0.25">
      <c r="A802" t="s">
        <v>807</v>
      </c>
      <c r="B802">
        <v>123.37</v>
      </c>
      <c r="C802">
        <v>334.11</v>
      </c>
      <c r="D802">
        <v>93.96</v>
      </c>
      <c r="E802">
        <v>139.36000000000001</v>
      </c>
      <c r="F802">
        <v>418.85</v>
      </c>
    </row>
    <row r="803" spans="1:6" x14ac:dyDescent="0.25">
      <c r="A803" t="s">
        <v>808</v>
      </c>
      <c r="B803">
        <v>117.81</v>
      </c>
      <c r="C803">
        <v>328.79</v>
      </c>
      <c r="D803">
        <v>95.71</v>
      </c>
      <c r="E803">
        <v>138.69</v>
      </c>
      <c r="F803">
        <v>422.54</v>
      </c>
    </row>
    <row r="804" spans="1:6" x14ac:dyDescent="0.25">
      <c r="A804" t="s">
        <v>809</v>
      </c>
      <c r="B804">
        <v>116.04</v>
      </c>
      <c r="C804">
        <v>324.17</v>
      </c>
      <c r="D804">
        <v>95.24</v>
      </c>
      <c r="E804">
        <v>138</v>
      </c>
      <c r="F804">
        <v>433.01</v>
      </c>
    </row>
    <row r="805" spans="1:6" x14ac:dyDescent="0.25">
      <c r="A805" t="s">
        <v>810</v>
      </c>
      <c r="B805">
        <v>115.35</v>
      </c>
      <c r="C805">
        <v>323.55</v>
      </c>
      <c r="D805">
        <v>94.09</v>
      </c>
      <c r="E805">
        <v>135.88</v>
      </c>
      <c r="F805">
        <v>433.16</v>
      </c>
    </row>
    <row r="806" spans="1:6" x14ac:dyDescent="0.25">
      <c r="A806" t="s">
        <v>811</v>
      </c>
      <c r="B806">
        <v>118.35</v>
      </c>
      <c r="C806">
        <v>328.81</v>
      </c>
      <c r="D806">
        <v>92.72</v>
      </c>
      <c r="E806">
        <v>135.12</v>
      </c>
      <c r="F806">
        <v>431.78</v>
      </c>
    </row>
    <row r="807" spans="1:6" x14ac:dyDescent="0.25">
      <c r="A807" t="s">
        <v>812</v>
      </c>
      <c r="B807">
        <v>118.98</v>
      </c>
      <c r="C807">
        <v>332.76</v>
      </c>
      <c r="D807">
        <v>92.5</v>
      </c>
      <c r="E807">
        <v>134.06</v>
      </c>
      <c r="F807">
        <v>439.06</v>
      </c>
    </row>
    <row r="808" spans="1:6" x14ac:dyDescent="0.25">
      <c r="A808" t="s">
        <v>813</v>
      </c>
      <c r="B808">
        <v>120.6</v>
      </c>
      <c r="C808">
        <v>329.71</v>
      </c>
      <c r="D808">
        <v>96.09</v>
      </c>
      <c r="E808">
        <v>135.4</v>
      </c>
      <c r="F808">
        <v>440.8</v>
      </c>
    </row>
    <row r="809" spans="1:6" x14ac:dyDescent="0.25">
      <c r="A809" t="s">
        <v>814</v>
      </c>
      <c r="B809">
        <v>118.77</v>
      </c>
      <c r="C809">
        <v>329.56</v>
      </c>
      <c r="D809">
        <v>96.58</v>
      </c>
      <c r="E809">
        <v>136.31</v>
      </c>
      <c r="F809">
        <v>447.03</v>
      </c>
    </row>
    <row r="810" spans="1:6" x14ac:dyDescent="0.25">
      <c r="A810" t="s">
        <v>815</v>
      </c>
      <c r="B810">
        <v>118.57</v>
      </c>
      <c r="C810">
        <v>332.04</v>
      </c>
      <c r="D810">
        <v>96.39</v>
      </c>
      <c r="E810">
        <v>135.22</v>
      </c>
      <c r="F810">
        <v>449.61</v>
      </c>
    </row>
    <row r="811" spans="1:6" x14ac:dyDescent="0.25">
      <c r="A811" t="s">
        <v>816</v>
      </c>
      <c r="B811">
        <v>117.98</v>
      </c>
      <c r="C811">
        <v>326.69</v>
      </c>
      <c r="D811">
        <v>95.9</v>
      </c>
      <c r="E811">
        <v>133.35</v>
      </c>
      <c r="F811">
        <v>445.68</v>
      </c>
    </row>
    <row r="812" spans="1:6" x14ac:dyDescent="0.25">
      <c r="A812" t="s">
        <v>817</v>
      </c>
      <c r="B812">
        <v>119.05</v>
      </c>
      <c r="C812">
        <v>327.47000000000003</v>
      </c>
      <c r="D812">
        <v>94.73</v>
      </c>
      <c r="E812">
        <v>128.85</v>
      </c>
      <c r="F812">
        <v>443.82</v>
      </c>
    </row>
    <row r="813" spans="1:6" x14ac:dyDescent="0.25">
      <c r="A813" t="s">
        <v>818</v>
      </c>
      <c r="B813">
        <v>117.21</v>
      </c>
      <c r="C813">
        <v>326.22000000000003</v>
      </c>
      <c r="D813">
        <v>93.97</v>
      </c>
      <c r="E813">
        <v>129.41999999999999</v>
      </c>
      <c r="F813">
        <v>451.41</v>
      </c>
    </row>
    <row r="814" spans="1:6" x14ac:dyDescent="0.25">
      <c r="A814" t="s">
        <v>819</v>
      </c>
      <c r="B814">
        <v>117.22</v>
      </c>
      <c r="C814">
        <v>320.39999999999998</v>
      </c>
      <c r="D814">
        <v>93.73</v>
      </c>
      <c r="E814">
        <v>129.41</v>
      </c>
      <c r="F814">
        <v>448.13</v>
      </c>
    </row>
    <row r="815" spans="1:6" x14ac:dyDescent="0.25">
      <c r="A815" t="s">
        <v>820</v>
      </c>
      <c r="B815">
        <v>121.19</v>
      </c>
      <c r="C815">
        <v>326.66000000000003</v>
      </c>
      <c r="D815">
        <v>92.04</v>
      </c>
      <c r="E815">
        <v>129.1</v>
      </c>
      <c r="F815">
        <v>446.21</v>
      </c>
    </row>
    <row r="816" spans="1:6" x14ac:dyDescent="0.25">
      <c r="A816" t="s">
        <v>821</v>
      </c>
      <c r="B816">
        <v>121.99</v>
      </c>
      <c r="C816">
        <v>331.23</v>
      </c>
      <c r="D816">
        <v>92.84</v>
      </c>
      <c r="E816">
        <v>129.77000000000001</v>
      </c>
      <c r="F816">
        <v>448.12</v>
      </c>
    </row>
    <row r="817" spans="1:6" x14ac:dyDescent="0.25">
      <c r="A817" t="s">
        <v>822</v>
      </c>
      <c r="B817">
        <v>119.41</v>
      </c>
      <c r="C817">
        <v>325.24</v>
      </c>
      <c r="D817">
        <v>93.36</v>
      </c>
      <c r="E817">
        <v>132.32</v>
      </c>
      <c r="F817">
        <v>445.97</v>
      </c>
    </row>
    <row r="818" spans="1:6" x14ac:dyDescent="0.25">
      <c r="A818" t="s">
        <v>823</v>
      </c>
      <c r="B818">
        <v>121.94</v>
      </c>
      <c r="C818">
        <v>329.62</v>
      </c>
      <c r="D818">
        <v>92.32</v>
      </c>
      <c r="E818">
        <v>132.52000000000001</v>
      </c>
      <c r="F818">
        <v>439.09</v>
      </c>
    </row>
    <row r="819" spans="1:6" x14ac:dyDescent="0.25">
      <c r="A819" t="s">
        <v>824</v>
      </c>
      <c r="B819">
        <v>122.37</v>
      </c>
      <c r="C819">
        <v>333.79</v>
      </c>
      <c r="D819">
        <v>94.49</v>
      </c>
      <c r="E819">
        <v>133.19999999999999</v>
      </c>
      <c r="F819">
        <v>428.89</v>
      </c>
    </row>
    <row r="820" spans="1:6" x14ac:dyDescent="0.25">
      <c r="A820" t="s">
        <v>825</v>
      </c>
      <c r="B820">
        <v>123.91</v>
      </c>
      <c r="C820">
        <v>339.41</v>
      </c>
      <c r="D820">
        <v>95.17</v>
      </c>
      <c r="E820">
        <v>133.04</v>
      </c>
      <c r="F820">
        <v>435.81</v>
      </c>
    </row>
    <row r="821" spans="1:6" x14ac:dyDescent="0.25">
      <c r="A821" t="s">
        <v>826</v>
      </c>
      <c r="B821">
        <v>122.5</v>
      </c>
      <c r="C821">
        <v>328.92</v>
      </c>
      <c r="D821">
        <v>94.52</v>
      </c>
      <c r="E821">
        <v>131.55000000000001</v>
      </c>
      <c r="F821">
        <v>428.41</v>
      </c>
    </row>
    <row r="822" spans="1:6" x14ac:dyDescent="0.25">
      <c r="A822" t="s">
        <v>827</v>
      </c>
      <c r="B822">
        <v>122.66</v>
      </c>
      <c r="C822">
        <v>325.95</v>
      </c>
      <c r="D822">
        <v>95.67</v>
      </c>
      <c r="E822">
        <v>132.04</v>
      </c>
      <c r="F822">
        <v>457.71</v>
      </c>
    </row>
    <row r="823" spans="1:6" x14ac:dyDescent="0.25">
      <c r="A823" t="s">
        <v>828</v>
      </c>
      <c r="B823">
        <v>122.47</v>
      </c>
      <c r="C823">
        <v>323.57</v>
      </c>
      <c r="D823">
        <v>95.65</v>
      </c>
      <c r="E823">
        <v>131.09</v>
      </c>
      <c r="F823">
        <v>458.91</v>
      </c>
    </row>
    <row r="824" spans="1:6" x14ac:dyDescent="0.25">
      <c r="A824" t="s">
        <v>829</v>
      </c>
      <c r="B824">
        <v>121.08</v>
      </c>
      <c r="C824">
        <v>318.64</v>
      </c>
      <c r="D824">
        <v>96.52</v>
      </c>
      <c r="E824">
        <v>131.1</v>
      </c>
      <c r="F824">
        <v>459.87</v>
      </c>
    </row>
    <row r="825" spans="1:6" x14ac:dyDescent="0.25">
      <c r="A825" t="s">
        <v>830</v>
      </c>
      <c r="B825">
        <v>120.99</v>
      </c>
      <c r="C825">
        <v>317.14</v>
      </c>
      <c r="D825">
        <v>97.24</v>
      </c>
      <c r="E825">
        <v>130.84</v>
      </c>
      <c r="F825">
        <v>456.71</v>
      </c>
    </row>
    <row r="826" spans="1:6" x14ac:dyDescent="0.25">
      <c r="A826" t="s">
        <v>831</v>
      </c>
      <c r="B826">
        <v>121.35</v>
      </c>
      <c r="C826">
        <v>315.31</v>
      </c>
      <c r="D826">
        <v>97.54</v>
      </c>
      <c r="E826">
        <v>130.81</v>
      </c>
      <c r="F826">
        <v>449.16</v>
      </c>
    </row>
    <row r="827" spans="1:6" x14ac:dyDescent="0.25">
      <c r="A827" t="s">
        <v>832</v>
      </c>
      <c r="B827">
        <v>126.11</v>
      </c>
      <c r="C827">
        <v>325.35000000000002</v>
      </c>
      <c r="D827">
        <v>95.41</v>
      </c>
      <c r="E827">
        <v>129.55000000000001</v>
      </c>
      <c r="F827">
        <v>454.23</v>
      </c>
    </row>
    <row r="828" spans="1:6" x14ac:dyDescent="0.25">
      <c r="A828" t="s">
        <v>833</v>
      </c>
      <c r="B828">
        <v>124.82</v>
      </c>
      <c r="C828">
        <v>327.56</v>
      </c>
      <c r="D828">
        <v>94.63</v>
      </c>
      <c r="E828">
        <v>129.32</v>
      </c>
      <c r="F828">
        <v>464.12</v>
      </c>
    </row>
    <row r="829" spans="1:6" x14ac:dyDescent="0.25">
      <c r="A829" t="s">
        <v>834</v>
      </c>
      <c r="B829">
        <v>123.49</v>
      </c>
      <c r="C829">
        <v>327.02999999999997</v>
      </c>
      <c r="D829">
        <v>95.06</v>
      </c>
      <c r="E829">
        <v>130.6</v>
      </c>
      <c r="F829">
        <v>465.42</v>
      </c>
    </row>
    <row r="830" spans="1:6" x14ac:dyDescent="0.25">
      <c r="A830" t="s">
        <v>835</v>
      </c>
      <c r="B830">
        <v>122.55</v>
      </c>
      <c r="C830">
        <v>324.27999999999997</v>
      </c>
      <c r="D830">
        <v>92.9</v>
      </c>
      <c r="E830">
        <v>127.91</v>
      </c>
      <c r="F830">
        <v>459.88</v>
      </c>
    </row>
    <row r="831" spans="1:6" x14ac:dyDescent="0.25">
      <c r="A831" t="s">
        <v>836</v>
      </c>
      <c r="B831">
        <v>121.71</v>
      </c>
      <c r="C831">
        <v>320.2</v>
      </c>
      <c r="D831">
        <v>91.84</v>
      </c>
      <c r="E831">
        <v>126.18</v>
      </c>
      <c r="F831">
        <v>453.92</v>
      </c>
    </row>
    <row r="832" spans="1:6" x14ac:dyDescent="0.25">
      <c r="A832" t="s">
        <v>837</v>
      </c>
      <c r="B832">
        <v>122.5</v>
      </c>
      <c r="C832">
        <v>322.95</v>
      </c>
      <c r="D832">
        <v>93.51</v>
      </c>
      <c r="E832">
        <v>127.8</v>
      </c>
      <c r="F832">
        <v>447.04</v>
      </c>
    </row>
    <row r="833" spans="1:6" x14ac:dyDescent="0.25">
      <c r="A833" t="s">
        <v>838</v>
      </c>
      <c r="B833">
        <v>123.44</v>
      </c>
      <c r="C833">
        <v>324.58</v>
      </c>
      <c r="D833">
        <v>94.35</v>
      </c>
      <c r="E833">
        <v>127.32</v>
      </c>
      <c r="F833">
        <v>448.59</v>
      </c>
    </row>
    <row r="834" spans="1:6" x14ac:dyDescent="0.25">
      <c r="A834" t="s">
        <v>839</v>
      </c>
      <c r="B834">
        <v>122.32</v>
      </c>
      <c r="C834">
        <v>317.79000000000002</v>
      </c>
      <c r="D834">
        <v>94.97</v>
      </c>
      <c r="E834">
        <v>126.14</v>
      </c>
      <c r="F834">
        <v>445.04</v>
      </c>
    </row>
    <row r="835" spans="1:6" x14ac:dyDescent="0.25">
      <c r="A835" t="s">
        <v>840</v>
      </c>
      <c r="B835">
        <v>119.76</v>
      </c>
      <c r="C835">
        <v>306.02</v>
      </c>
      <c r="D835">
        <v>96.7</v>
      </c>
      <c r="E835">
        <v>125.83</v>
      </c>
      <c r="F835">
        <v>447.95</v>
      </c>
    </row>
    <row r="836" spans="1:6" x14ac:dyDescent="0.25">
      <c r="A836" t="s">
        <v>841</v>
      </c>
      <c r="B836">
        <v>121.4</v>
      </c>
      <c r="C836">
        <v>307.39</v>
      </c>
      <c r="D836">
        <v>95.63</v>
      </c>
      <c r="E836">
        <v>126.99</v>
      </c>
      <c r="F836">
        <v>446.66</v>
      </c>
    </row>
    <row r="837" spans="1:6" x14ac:dyDescent="0.25">
      <c r="A837" t="s">
        <v>842</v>
      </c>
      <c r="B837">
        <v>123.87</v>
      </c>
      <c r="C837">
        <v>313.17</v>
      </c>
      <c r="D837">
        <v>94.35</v>
      </c>
      <c r="E837">
        <v>128.33000000000001</v>
      </c>
      <c r="F837">
        <v>447.76</v>
      </c>
    </row>
    <row r="838" spans="1:6" x14ac:dyDescent="0.25">
      <c r="A838" t="s">
        <v>843</v>
      </c>
      <c r="B838">
        <v>121.6</v>
      </c>
      <c r="C838">
        <v>310.39999999999998</v>
      </c>
      <c r="D838">
        <v>95.5</v>
      </c>
      <c r="E838">
        <v>129.4</v>
      </c>
      <c r="F838">
        <v>446.08</v>
      </c>
    </row>
    <row r="839" spans="1:6" x14ac:dyDescent="0.25">
      <c r="A839" t="s">
        <v>844</v>
      </c>
      <c r="B839">
        <v>121.67</v>
      </c>
      <c r="C839">
        <v>310.57</v>
      </c>
      <c r="D839">
        <v>95.06</v>
      </c>
      <c r="E839">
        <v>129.69999999999999</v>
      </c>
      <c r="F839">
        <v>446.46</v>
      </c>
    </row>
    <row r="840" spans="1:6" x14ac:dyDescent="0.25">
      <c r="A840" t="s">
        <v>845</v>
      </c>
      <c r="B840">
        <v>119.7</v>
      </c>
      <c r="C840">
        <v>306.17</v>
      </c>
      <c r="D840">
        <v>94.21</v>
      </c>
      <c r="E840">
        <v>128.72</v>
      </c>
      <c r="F840">
        <v>451.66</v>
      </c>
    </row>
    <row r="841" spans="1:6" x14ac:dyDescent="0.25">
      <c r="A841" t="s">
        <v>846</v>
      </c>
      <c r="B841">
        <v>118.38</v>
      </c>
      <c r="C841">
        <v>303.3</v>
      </c>
      <c r="D841">
        <v>92.14</v>
      </c>
      <c r="E841">
        <v>124.88</v>
      </c>
      <c r="F841">
        <v>446.92</v>
      </c>
    </row>
    <row r="842" spans="1:6" x14ac:dyDescent="0.25">
      <c r="A842" t="s">
        <v>847</v>
      </c>
      <c r="B842">
        <v>115.41</v>
      </c>
      <c r="C842">
        <v>301.08</v>
      </c>
      <c r="D842">
        <v>94.43</v>
      </c>
      <c r="E842">
        <v>125.73</v>
      </c>
      <c r="F842">
        <v>453.57</v>
      </c>
    </row>
    <row r="843" spans="1:6" x14ac:dyDescent="0.25">
      <c r="A843" t="s">
        <v>848</v>
      </c>
      <c r="B843">
        <v>116.4</v>
      </c>
      <c r="C843">
        <v>300.60000000000002</v>
      </c>
      <c r="D843">
        <v>94.26</v>
      </c>
      <c r="E843">
        <v>124.68</v>
      </c>
      <c r="F843">
        <v>457.64</v>
      </c>
    </row>
    <row r="844" spans="1:6" x14ac:dyDescent="0.25">
      <c r="A844" t="s">
        <v>849</v>
      </c>
      <c r="B844">
        <v>115.47</v>
      </c>
      <c r="C844">
        <v>301.70999999999998</v>
      </c>
      <c r="D844">
        <v>94.26</v>
      </c>
      <c r="E844">
        <v>126.49</v>
      </c>
      <c r="F844">
        <v>455.34</v>
      </c>
    </row>
    <row r="845" spans="1:6" x14ac:dyDescent="0.25">
      <c r="A845" t="s">
        <v>850</v>
      </c>
      <c r="B845">
        <v>110.7</v>
      </c>
      <c r="C845">
        <v>303.85000000000002</v>
      </c>
      <c r="D845">
        <v>96</v>
      </c>
      <c r="E845">
        <v>126.89</v>
      </c>
      <c r="F845">
        <v>456.56</v>
      </c>
    </row>
    <row r="846" spans="1:6" x14ac:dyDescent="0.25">
      <c r="A846" t="s">
        <v>851</v>
      </c>
      <c r="B846">
        <v>106.34</v>
      </c>
      <c r="C846">
        <v>298.69</v>
      </c>
      <c r="D846">
        <v>97.25</v>
      </c>
      <c r="E846">
        <v>126.83</v>
      </c>
      <c r="F846">
        <v>456.85</v>
      </c>
    </row>
    <row r="847" spans="1:6" x14ac:dyDescent="0.25">
      <c r="A847" t="s">
        <v>852</v>
      </c>
      <c r="B847">
        <v>106.75</v>
      </c>
      <c r="C847">
        <v>300.29000000000002</v>
      </c>
      <c r="D847">
        <v>97.22</v>
      </c>
      <c r="E847">
        <v>127.44</v>
      </c>
      <c r="F847">
        <v>458.93</v>
      </c>
    </row>
    <row r="848" spans="1:6" x14ac:dyDescent="0.25">
      <c r="A848" t="s">
        <v>853</v>
      </c>
      <c r="B848">
        <v>104.57</v>
      </c>
      <c r="C848">
        <v>302.24</v>
      </c>
      <c r="D848">
        <v>96.84</v>
      </c>
      <c r="E848">
        <v>127.13</v>
      </c>
      <c r="F848">
        <v>460.48</v>
      </c>
    </row>
    <row r="849" spans="1:6" x14ac:dyDescent="0.25">
      <c r="A849" t="s">
        <v>854</v>
      </c>
      <c r="B849">
        <v>103.7</v>
      </c>
      <c r="C849">
        <v>297.14</v>
      </c>
      <c r="D849">
        <v>94.49</v>
      </c>
      <c r="E849">
        <v>124.7</v>
      </c>
      <c r="F849">
        <v>453.96</v>
      </c>
    </row>
    <row r="850" spans="1:6" x14ac:dyDescent="0.25">
      <c r="A850" t="s">
        <v>855</v>
      </c>
      <c r="B850">
        <v>104.42</v>
      </c>
      <c r="C850">
        <v>296.16000000000003</v>
      </c>
      <c r="D850">
        <v>96.17</v>
      </c>
      <c r="E850">
        <v>126.43</v>
      </c>
      <c r="F850">
        <v>455.97</v>
      </c>
    </row>
    <row r="851" spans="1:6" x14ac:dyDescent="0.25">
      <c r="A851" t="s">
        <v>856</v>
      </c>
      <c r="B851">
        <v>104.33</v>
      </c>
      <c r="C851">
        <v>297.14</v>
      </c>
      <c r="D851">
        <v>98.1</v>
      </c>
      <c r="E851">
        <v>129.16</v>
      </c>
      <c r="F851">
        <v>459.65</v>
      </c>
    </row>
    <row r="852" spans="1:6" x14ac:dyDescent="0.25">
      <c r="A852" t="s">
        <v>857</v>
      </c>
      <c r="B852">
        <v>106.19</v>
      </c>
      <c r="C852">
        <v>297.29000000000002</v>
      </c>
      <c r="D852">
        <v>102.18</v>
      </c>
      <c r="E852">
        <v>131.28</v>
      </c>
      <c r="F852">
        <v>461.8</v>
      </c>
    </row>
    <row r="853" spans="1:6" x14ac:dyDescent="0.25">
      <c r="A853" t="s">
        <v>858</v>
      </c>
      <c r="B853">
        <v>106.33</v>
      </c>
      <c r="C853">
        <v>298.94</v>
      </c>
      <c r="D853">
        <v>105.45</v>
      </c>
      <c r="E853">
        <v>128.53</v>
      </c>
      <c r="F853">
        <v>458.44</v>
      </c>
    </row>
    <row r="854" spans="1:6" x14ac:dyDescent="0.25">
      <c r="A854" t="s">
        <v>859</v>
      </c>
      <c r="B854">
        <v>106.58</v>
      </c>
      <c r="C854">
        <v>296.58</v>
      </c>
      <c r="D854">
        <v>104.1</v>
      </c>
      <c r="E854">
        <v>127.42</v>
      </c>
      <c r="F854">
        <v>456.93</v>
      </c>
    </row>
    <row r="855" spans="1:6" x14ac:dyDescent="0.25">
      <c r="A855" t="s">
        <v>860</v>
      </c>
      <c r="B855">
        <v>102.73</v>
      </c>
      <c r="C855">
        <v>287.37</v>
      </c>
      <c r="D855">
        <v>102.87</v>
      </c>
      <c r="E855">
        <v>125.73</v>
      </c>
      <c r="F855">
        <v>449.93</v>
      </c>
    </row>
    <row r="856" spans="1:6" x14ac:dyDescent="0.25">
      <c r="A856" t="s">
        <v>861</v>
      </c>
      <c r="B856">
        <v>102.87</v>
      </c>
      <c r="C856">
        <v>267.95999999999998</v>
      </c>
      <c r="D856">
        <v>103.83</v>
      </c>
      <c r="E856">
        <v>128</v>
      </c>
      <c r="F856">
        <v>458.28</v>
      </c>
    </row>
    <row r="857" spans="1:6" x14ac:dyDescent="0.25">
      <c r="A857" t="s">
        <v>862</v>
      </c>
      <c r="B857">
        <v>104.97</v>
      </c>
      <c r="C857">
        <v>274.14</v>
      </c>
      <c r="D857">
        <v>105.32</v>
      </c>
      <c r="E857">
        <v>130.84</v>
      </c>
      <c r="F857">
        <v>455.51</v>
      </c>
    </row>
    <row r="858" spans="1:6" x14ac:dyDescent="0.25">
      <c r="A858" t="s">
        <v>863</v>
      </c>
      <c r="B858">
        <v>104.42</v>
      </c>
      <c r="C858">
        <v>278.02</v>
      </c>
      <c r="D858">
        <v>103.37</v>
      </c>
      <c r="E858">
        <v>130.66999999999999</v>
      </c>
      <c r="F858">
        <v>450.74</v>
      </c>
    </row>
    <row r="859" spans="1:6" x14ac:dyDescent="0.25">
      <c r="A859" t="s">
        <v>864</v>
      </c>
      <c r="B859">
        <v>104.3</v>
      </c>
      <c r="C859">
        <v>278.36</v>
      </c>
      <c r="D859">
        <v>103.04</v>
      </c>
      <c r="E859">
        <v>130.91999999999999</v>
      </c>
      <c r="F859">
        <v>454.13</v>
      </c>
    </row>
    <row r="860" spans="1:6" x14ac:dyDescent="0.25">
      <c r="A860" t="s">
        <v>865</v>
      </c>
      <c r="B860">
        <v>103.2</v>
      </c>
      <c r="C860">
        <v>280.64</v>
      </c>
      <c r="D860">
        <v>103.87</v>
      </c>
      <c r="E860">
        <v>131.30000000000001</v>
      </c>
      <c r="F860">
        <v>452.95</v>
      </c>
    </row>
    <row r="861" spans="1:6" x14ac:dyDescent="0.25">
      <c r="A861" t="s">
        <v>866</v>
      </c>
      <c r="B861">
        <v>103.51</v>
      </c>
      <c r="C861">
        <v>280.56</v>
      </c>
      <c r="D861">
        <v>104.2</v>
      </c>
      <c r="E861">
        <v>131.47</v>
      </c>
      <c r="F861">
        <v>469.98</v>
      </c>
    </row>
    <row r="862" spans="1:6" x14ac:dyDescent="0.25">
      <c r="A862" t="s">
        <v>867</v>
      </c>
      <c r="B862">
        <v>104.97</v>
      </c>
      <c r="C862">
        <v>280.98</v>
      </c>
      <c r="D862">
        <v>102.2</v>
      </c>
      <c r="E862">
        <v>130.01</v>
      </c>
      <c r="F862">
        <v>470.79</v>
      </c>
    </row>
    <row r="863" spans="1:6" x14ac:dyDescent="0.25">
      <c r="A863" t="s">
        <v>868</v>
      </c>
      <c r="B863">
        <v>107.84</v>
      </c>
      <c r="C863">
        <v>278.39</v>
      </c>
      <c r="D863">
        <v>103.41</v>
      </c>
      <c r="E863">
        <v>128.97999999999999</v>
      </c>
      <c r="F863">
        <v>476.79</v>
      </c>
    </row>
    <row r="864" spans="1:6" x14ac:dyDescent="0.25">
      <c r="A864" t="s">
        <v>869</v>
      </c>
      <c r="B864">
        <v>106.42</v>
      </c>
      <c r="C864">
        <v>281.99</v>
      </c>
      <c r="D864">
        <v>103.16</v>
      </c>
      <c r="E864">
        <v>119.93</v>
      </c>
      <c r="F864">
        <v>490.25</v>
      </c>
    </row>
    <row r="865" spans="1:6" x14ac:dyDescent="0.25">
      <c r="A865" t="s">
        <v>870</v>
      </c>
      <c r="B865">
        <v>103.65</v>
      </c>
      <c r="C865">
        <v>275.81</v>
      </c>
      <c r="D865">
        <v>102.68</v>
      </c>
      <c r="E865">
        <v>119.47</v>
      </c>
      <c r="F865">
        <v>485.55</v>
      </c>
    </row>
    <row r="866" spans="1:6" x14ac:dyDescent="0.25">
      <c r="A866" t="s">
        <v>871</v>
      </c>
      <c r="B866">
        <v>104.36</v>
      </c>
      <c r="C866">
        <v>275.17</v>
      </c>
      <c r="D866">
        <v>102.78</v>
      </c>
      <c r="E866">
        <v>119.49</v>
      </c>
      <c r="F866">
        <v>485.35</v>
      </c>
    </row>
    <row r="867" spans="1:6" x14ac:dyDescent="0.25">
      <c r="A867" t="s">
        <v>872</v>
      </c>
      <c r="B867">
        <v>105.44</v>
      </c>
      <c r="C867">
        <v>281.55</v>
      </c>
      <c r="D867">
        <v>102.06</v>
      </c>
      <c r="E867">
        <v>118.91</v>
      </c>
      <c r="F867">
        <v>479.95</v>
      </c>
    </row>
    <row r="868" spans="1:6" x14ac:dyDescent="0.25">
      <c r="A868" t="s">
        <v>873</v>
      </c>
      <c r="B868">
        <v>107.4</v>
      </c>
      <c r="C868">
        <v>283.7</v>
      </c>
      <c r="D868">
        <v>102.52</v>
      </c>
      <c r="E868">
        <v>118.51</v>
      </c>
      <c r="F868">
        <v>477.74</v>
      </c>
    </row>
    <row r="869" spans="1:6" x14ac:dyDescent="0.25">
      <c r="A869" t="s">
        <v>874</v>
      </c>
      <c r="B869">
        <v>103.49</v>
      </c>
      <c r="C869">
        <v>276.64</v>
      </c>
      <c r="D869">
        <v>104.24</v>
      </c>
      <c r="E869">
        <v>118.65</v>
      </c>
      <c r="F869">
        <v>474.41</v>
      </c>
    </row>
    <row r="870" spans="1:6" x14ac:dyDescent="0.25">
      <c r="A870" t="s">
        <v>875</v>
      </c>
      <c r="B870">
        <v>103.73</v>
      </c>
      <c r="C870">
        <v>279.39999999999998</v>
      </c>
      <c r="D870">
        <v>102.49</v>
      </c>
      <c r="E870">
        <v>118.47</v>
      </c>
      <c r="F870">
        <v>459.52</v>
      </c>
    </row>
    <row r="871" spans="1:6" x14ac:dyDescent="0.25">
      <c r="A871" t="s">
        <v>876</v>
      </c>
      <c r="B871">
        <v>103.38</v>
      </c>
      <c r="C871">
        <v>279.45</v>
      </c>
      <c r="D871">
        <v>103.48</v>
      </c>
      <c r="E871">
        <v>120.07</v>
      </c>
      <c r="F871">
        <v>460.4</v>
      </c>
    </row>
    <row r="872" spans="1:6" x14ac:dyDescent="0.25">
      <c r="A872" t="s">
        <v>877</v>
      </c>
      <c r="B872">
        <v>102.75</v>
      </c>
      <c r="C872">
        <v>280.49</v>
      </c>
      <c r="D872">
        <v>97.71</v>
      </c>
      <c r="E872">
        <v>120.21</v>
      </c>
      <c r="F872">
        <v>440.27</v>
      </c>
    </row>
    <row r="873" spans="1:6" x14ac:dyDescent="0.25">
      <c r="A873" t="s">
        <v>878</v>
      </c>
      <c r="B873">
        <v>99.94</v>
      </c>
      <c r="C873">
        <v>276.36</v>
      </c>
      <c r="D873">
        <v>97.56</v>
      </c>
      <c r="E873">
        <v>118.77</v>
      </c>
      <c r="F873">
        <v>437.92</v>
      </c>
    </row>
    <row r="874" spans="1:6" x14ac:dyDescent="0.25">
      <c r="A874" t="s">
        <v>879</v>
      </c>
      <c r="B874">
        <v>100.43</v>
      </c>
      <c r="C874">
        <v>272.91000000000003</v>
      </c>
      <c r="D874">
        <v>97.09</v>
      </c>
      <c r="E874">
        <v>119.13</v>
      </c>
      <c r="F874">
        <v>434.68</v>
      </c>
    </row>
    <row r="875" spans="1:6" x14ac:dyDescent="0.25">
      <c r="A875" t="s">
        <v>880</v>
      </c>
      <c r="B875">
        <v>100.08</v>
      </c>
      <c r="C875">
        <v>267.77999999999997</v>
      </c>
      <c r="D875">
        <v>95.45</v>
      </c>
      <c r="E875">
        <v>118.89</v>
      </c>
      <c r="F875">
        <v>440.27</v>
      </c>
    </row>
    <row r="876" spans="1:6" x14ac:dyDescent="0.25">
      <c r="A876" t="s">
        <v>881</v>
      </c>
      <c r="B876">
        <v>101.49</v>
      </c>
      <c r="C876">
        <v>268.89999999999998</v>
      </c>
      <c r="D876">
        <v>94.27</v>
      </c>
      <c r="E876">
        <v>118.53</v>
      </c>
      <c r="F876">
        <v>448.95</v>
      </c>
    </row>
    <row r="877" spans="1:6" x14ac:dyDescent="0.25">
      <c r="A877" t="s">
        <v>882</v>
      </c>
      <c r="B877">
        <v>104.45</v>
      </c>
      <c r="C877">
        <v>272.97000000000003</v>
      </c>
      <c r="D877">
        <v>92.25</v>
      </c>
      <c r="E877">
        <v>115.23</v>
      </c>
      <c r="F877">
        <v>443.44</v>
      </c>
    </row>
    <row r="878" spans="1:6" x14ac:dyDescent="0.25">
      <c r="A878" t="s">
        <v>883</v>
      </c>
      <c r="B878">
        <v>104.6</v>
      </c>
      <c r="C878">
        <v>270.14</v>
      </c>
      <c r="D878">
        <v>92.14</v>
      </c>
      <c r="E878">
        <v>117.01</v>
      </c>
      <c r="F878">
        <v>437.78</v>
      </c>
    </row>
    <row r="879" spans="1:6" x14ac:dyDescent="0.25">
      <c r="A879" t="s">
        <v>884</v>
      </c>
      <c r="B879">
        <v>102.4</v>
      </c>
      <c r="C879">
        <v>264.92</v>
      </c>
      <c r="D879">
        <v>93.19</v>
      </c>
      <c r="E879">
        <v>117.32</v>
      </c>
      <c r="F879">
        <v>443</v>
      </c>
    </row>
    <row r="880" spans="1:6" x14ac:dyDescent="0.25">
      <c r="A880" t="s">
        <v>885</v>
      </c>
      <c r="B880">
        <v>103.93</v>
      </c>
      <c r="C880">
        <v>266.37</v>
      </c>
      <c r="D880">
        <v>95.38</v>
      </c>
      <c r="E880">
        <v>120.43</v>
      </c>
      <c r="F880">
        <v>447.27</v>
      </c>
    </row>
    <row r="881" spans="1:6" x14ac:dyDescent="0.25">
      <c r="A881" t="s">
        <v>886</v>
      </c>
      <c r="B881">
        <v>100.27</v>
      </c>
      <c r="C881">
        <v>264.86</v>
      </c>
      <c r="D881">
        <v>91.29</v>
      </c>
      <c r="E881">
        <v>117.29</v>
      </c>
      <c r="F881">
        <v>444.35</v>
      </c>
    </row>
    <row r="882" spans="1:6" x14ac:dyDescent="0.25">
      <c r="A882" t="s">
        <v>887</v>
      </c>
      <c r="B882">
        <v>100.66</v>
      </c>
      <c r="C882">
        <v>271.86</v>
      </c>
      <c r="D882">
        <v>88.96</v>
      </c>
      <c r="E882">
        <v>116.06</v>
      </c>
      <c r="F882">
        <v>437.4</v>
      </c>
    </row>
    <row r="883" spans="1:6" x14ac:dyDescent="0.25">
      <c r="A883" t="s">
        <v>888</v>
      </c>
      <c r="B883">
        <v>99.37</v>
      </c>
      <c r="C883">
        <v>268.72000000000003</v>
      </c>
      <c r="D883">
        <v>90.02</v>
      </c>
      <c r="E883">
        <v>120.62</v>
      </c>
      <c r="F883">
        <v>439.74</v>
      </c>
    </row>
    <row r="884" spans="1:6" x14ac:dyDescent="0.25">
      <c r="A884" t="s">
        <v>889</v>
      </c>
      <c r="B884">
        <v>95.2</v>
      </c>
      <c r="C884">
        <v>258.25</v>
      </c>
      <c r="D884">
        <v>90.55</v>
      </c>
      <c r="E884">
        <v>118.32</v>
      </c>
      <c r="F884">
        <v>433.6</v>
      </c>
    </row>
    <row r="885" spans="1:6" x14ac:dyDescent="0.25">
      <c r="A885" t="s">
        <v>890</v>
      </c>
      <c r="B885">
        <v>93.08</v>
      </c>
      <c r="C885">
        <v>253.73</v>
      </c>
      <c r="D885">
        <v>95.29</v>
      </c>
      <c r="E885">
        <v>124.19</v>
      </c>
      <c r="F885">
        <v>432.81</v>
      </c>
    </row>
    <row r="886" spans="1:6" x14ac:dyDescent="0.25">
      <c r="A886" t="s">
        <v>891</v>
      </c>
      <c r="B886">
        <v>90.25</v>
      </c>
      <c r="C886">
        <v>247.04</v>
      </c>
      <c r="D886">
        <v>94.93</v>
      </c>
      <c r="E886">
        <v>121.08</v>
      </c>
      <c r="F886">
        <v>431.97</v>
      </c>
    </row>
    <row r="887" spans="1:6" x14ac:dyDescent="0.25">
      <c r="A887" t="s">
        <v>892</v>
      </c>
      <c r="B887">
        <v>89.78</v>
      </c>
      <c r="C887">
        <v>241.86</v>
      </c>
      <c r="D887">
        <v>96.04</v>
      </c>
      <c r="E887">
        <v>123.29</v>
      </c>
      <c r="F887">
        <v>428.85</v>
      </c>
    </row>
    <row r="888" spans="1:6" x14ac:dyDescent="0.25">
      <c r="A888" t="s">
        <v>893</v>
      </c>
      <c r="B888">
        <v>91.45</v>
      </c>
      <c r="C888">
        <v>245.49</v>
      </c>
      <c r="D888">
        <v>97.24</v>
      </c>
      <c r="E888">
        <v>120.24</v>
      </c>
      <c r="F888">
        <v>431.58</v>
      </c>
    </row>
    <row r="889" spans="1:6" x14ac:dyDescent="0.25">
      <c r="A889" t="s">
        <v>894</v>
      </c>
      <c r="B889">
        <v>93.36</v>
      </c>
      <c r="C889">
        <v>246.83</v>
      </c>
      <c r="D889">
        <v>98</v>
      </c>
      <c r="E889">
        <v>127.12</v>
      </c>
      <c r="F889">
        <v>436.86</v>
      </c>
    </row>
    <row r="890" spans="1:6" x14ac:dyDescent="0.25">
      <c r="A890" t="s">
        <v>895</v>
      </c>
      <c r="B890">
        <v>92.98</v>
      </c>
      <c r="C890">
        <v>247.27</v>
      </c>
      <c r="D890">
        <v>99.45</v>
      </c>
      <c r="E890">
        <v>127.88</v>
      </c>
      <c r="F890">
        <v>439.91</v>
      </c>
    </row>
    <row r="891" spans="1:6" x14ac:dyDescent="0.25">
      <c r="A891" t="s">
        <v>896</v>
      </c>
      <c r="B891">
        <v>94.23</v>
      </c>
      <c r="C891">
        <v>249.91</v>
      </c>
      <c r="D891">
        <v>101.41</v>
      </c>
      <c r="E891">
        <v>131.75</v>
      </c>
      <c r="F891">
        <v>446.31</v>
      </c>
    </row>
    <row r="892" spans="1:6" x14ac:dyDescent="0.25">
      <c r="A892" t="s">
        <v>897</v>
      </c>
      <c r="B892">
        <v>92.77</v>
      </c>
      <c r="C892">
        <v>248.38</v>
      </c>
      <c r="D892">
        <v>100.52</v>
      </c>
      <c r="E892">
        <v>132.53</v>
      </c>
      <c r="F892">
        <v>444.25</v>
      </c>
    </row>
    <row r="893" spans="1:6" x14ac:dyDescent="0.25">
      <c r="A893" t="s">
        <v>898</v>
      </c>
      <c r="B893">
        <v>91.13</v>
      </c>
      <c r="C893">
        <v>244.31</v>
      </c>
      <c r="D893">
        <v>99.26</v>
      </c>
      <c r="E893">
        <v>130.13999999999999</v>
      </c>
      <c r="F893">
        <v>443.46</v>
      </c>
    </row>
    <row r="894" spans="1:6" x14ac:dyDescent="0.25">
      <c r="A894" t="s">
        <v>899</v>
      </c>
      <c r="B894">
        <v>89.51</v>
      </c>
      <c r="C894">
        <v>239.6</v>
      </c>
      <c r="D894">
        <v>98.81</v>
      </c>
      <c r="E894">
        <v>131.5</v>
      </c>
      <c r="F894">
        <v>441.15</v>
      </c>
    </row>
    <row r="895" spans="1:6" x14ac:dyDescent="0.25">
      <c r="A895" t="s">
        <v>900</v>
      </c>
      <c r="B895">
        <v>89.21</v>
      </c>
      <c r="C895">
        <v>242.67</v>
      </c>
      <c r="D895">
        <v>97.94</v>
      </c>
      <c r="E895">
        <v>132.24</v>
      </c>
      <c r="F895">
        <v>441.82</v>
      </c>
    </row>
    <row r="896" spans="1:6" x14ac:dyDescent="0.25">
      <c r="A896" t="s">
        <v>901</v>
      </c>
      <c r="B896">
        <v>89.02</v>
      </c>
      <c r="C896">
        <v>243.39</v>
      </c>
      <c r="D896">
        <v>98.51</v>
      </c>
      <c r="E896">
        <v>131.13999999999999</v>
      </c>
      <c r="F896">
        <v>448.67</v>
      </c>
    </row>
    <row r="897" spans="1:6" x14ac:dyDescent="0.25">
      <c r="A897" t="s">
        <v>902</v>
      </c>
      <c r="B897">
        <v>88.29</v>
      </c>
      <c r="C897">
        <v>242.47</v>
      </c>
      <c r="D897">
        <v>98.68</v>
      </c>
      <c r="E897">
        <v>130.01</v>
      </c>
      <c r="F897">
        <v>449.61</v>
      </c>
    </row>
    <row r="898" spans="1:6" x14ac:dyDescent="0.25">
      <c r="A898" t="s">
        <v>903</v>
      </c>
      <c r="B898">
        <v>90.03</v>
      </c>
      <c r="C898">
        <v>247.87</v>
      </c>
      <c r="D898">
        <v>98.67</v>
      </c>
      <c r="E898">
        <v>128.85</v>
      </c>
      <c r="F898">
        <v>456.44</v>
      </c>
    </row>
    <row r="899" spans="1:6" x14ac:dyDescent="0.25">
      <c r="A899" t="s">
        <v>904</v>
      </c>
      <c r="B899">
        <v>90.79</v>
      </c>
      <c r="C899">
        <v>244.7</v>
      </c>
      <c r="D899">
        <v>97.77</v>
      </c>
      <c r="E899">
        <v>127.82</v>
      </c>
      <c r="F899">
        <v>453.84</v>
      </c>
    </row>
    <row r="900" spans="1:6" x14ac:dyDescent="0.25">
      <c r="A900" t="s">
        <v>905</v>
      </c>
      <c r="B900">
        <v>90.92</v>
      </c>
      <c r="C900">
        <v>245.83</v>
      </c>
      <c r="D900">
        <v>99.06</v>
      </c>
      <c r="E900">
        <v>128.81</v>
      </c>
      <c r="F900">
        <v>456.09</v>
      </c>
    </row>
    <row r="901" spans="1:6" x14ac:dyDescent="0.25">
      <c r="A901" t="s">
        <v>906</v>
      </c>
      <c r="B901">
        <v>93.46</v>
      </c>
      <c r="C901">
        <v>251.07</v>
      </c>
      <c r="D901">
        <v>99.16</v>
      </c>
      <c r="E901">
        <v>131.22</v>
      </c>
      <c r="F901">
        <v>463.3</v>
      </c>
    </row>
    <row r="902" spans="1:6" x14ac:dyDescent="0.25">
      <c r="A902" t="s">
        <v>907</v>
      </c>
      <c r="B902">
        <v>94.61</v>
      </c>
      <c r="C902">
        <v>255.05</v>
      </c>
      <c r="D902">
        <v>103.12</v>
      </c>
      <c r="E902">
        <v>130.83000000000001</v>
      </c>
      <c r="F902">
        <v>452.41</v>
      </c>
    </row>
    <row r="903" spans="1:6" x14ac:dyDescent="0.25">
      <c r="A903" t="s">
        <v>908</v>
      </c>
      <c r="B903">
        <v>96.03</v>
      </c>
      <c r="C903">
        <v>262.02999999999997</v>
      </c>
      <c r="D903">
        <v>103.42</v>
      </c>
      <c r="E903">
        <v>132.66</v>
      </c>
      <c r="F903">
        <v>456.03</v>
      </c>
    </row>
    <row r="904" spans="1:6" x14ac:dyDescent="0.25">
      <c r="A904" t="s">
        <v>909</v>
      </c>
      <c r="B904">
        <v>93.79</v>
      </c>
      <c r="C904">
        <v>264.14</v>
      </c>
      <c r="D904">
        <v>103.74</v>
      </c>
      <c r="E904">
        <v>132.1</v>
      </c>
      <c r="F904">
        <v>457.5</v>
      </c>
    </row>
    <row r="905" spans="1:6" x14ac:dyDescent="0.25">
      <c r="A905" t="s">
        <v>910</v>
      </c>
      <c r="B905">
        <v>93.72</v>
      </c>
      <c r="C905">
        <v>263.31</v>
      </c>
      <c r="D905">
        <v>104.97</v>
      </c>
      <c r="E905">
        <v>131.52000000000001</v>
      </c>
      <c r="F905">
        <v>459.84</v>
      </c>
    </row>
    <row r="906" spans="1:6" x14ac:dyDescent="0.25">
      <c r="A906" t="s">
        <v>911</v>
      </c>
      <c r="B906">
        <v>93.68</v>
      </c>
      <c r="C906">
        <v>255.34</v>
      </c>
      <c r="D906">
        <v>105.38</v>
      </c>
      <c r="E906">
        <v>130.11000000000001</v>
      </c>
      <c r="F906">
        <v>458.82</v>
      </c>
    </row>
    <row r="907" spans="1:6" x14ac:dyDescent="0.25">
      <c r="A907" t="s">
        <v>912</v>
      </c>
      <c r="B907">
        <v>94.11</v>
      </c>
      <c r="C907">
        <v>255.84</v>
      </c>
      <c r="D907">
        <v>101.11</v>
      </c>
      <c r="E907">
        <v>129.54</v>
      </c>
      <c r="F907">
        <v>450.91</v>
      </c>
    </row>
    <row r="908" spans="1:6" x14ac:dyDescent="0.25">
      <c r="A908" t="s">
        <v>913</v>
      </c>
      <c r="B908">
        <v>98.43</v>
      </c>
      <c r="C908">
        <v>258.86</v>
      </c>
      <c r="D908">
        <v>100.73</v>
      </c>
      <c r="E908">
        <v>131.59</v>
      </c>
      <c r="F908">
        <v>448.58</v>
      </c>
    </row>
    <row r="909" spans="1:6" x14ac:dyDescent="0.25">
      <c r="A909" t="s">
        <v>914</v>
      </c>
      <c r="B909">
        <v>106.63</v>
      </c>
      <c r="C909">
        <v>259.66000000000003</v>
      </c>
      <c r="D909">
        <v>101.62</v>
      </c>
      <c r="E909">
        <v>132.52000000000001</v>
      </c>
      <c r="F909">
        <v>442.69</v>
      </c>
    </row>
    <row r="910" spans="1:6" x14ac:dyDescent="0.25">
      <c r="A910" t="s">
        <v>915</v>
      </c>
      <c r="B910">
        <v>101.93</v>
      </c>
      <c r="C910">
        <v>249.19</v>
      </c>
      <c r="D910">
        <v>98.8</v>
      </c>
      <c r="E910">
        <v>130.91999999999999</v>
      </c>
      <c r="F910">
        <v>441.17</v>
      </c>
    </row>
    <row r="911" spans="1:6" x14ac:dyDescent="0.25">
      <c r="A911" t="s">
        <v>916</v>
      </c>
      <c r="B911">
        <v>103.79</v>
      </c>
      <c r="C911">
        <v>250.73</v>
      </c>
      <c r="D911">
        <v>98.96</v>
      </c>
      <c r="E911">
        <v>130.16</v>
      </c>
      <c r="F911">
        <v>438.18</v>
      </c>
    </row>
    <row r="912" spans="1:6" x14ac:dyDescent="0.25">
      <c r="A912" t="s">
        <v>917</v>
      </c>
      <c r="B912">
        <v>106.72</v>
      </c>
      <c r="C912">
        <v>256.79000000000002</v>
      </c>
      <c r="D912">
        <v>98.28</v>
      </c>
      <c r="E912">
        <v>128.16999999999999</v>
      </c>
      <c r="F912">
        <v>437.08</v>
      </c>
    </row>
    <row r="913" spans="1:6" x14ac:dyDescent="0.25">
      <c r="A913" t="s">
        <v>918</v>
      </c>
      <c r="B913">
        <v>99.48</v>
      </c>
      <c r="C913">
        <v>245.29</v>
      </c>
      <c r="D913">
        <v>101.46</v>
      </c>
      <c r="E913">
        <v>128.77000000000001</v>
      </c>
      <c r="F913">
        <v>461.37</v>
      </c>
    </row>
    <row r="914" spans="1:6" x14ac:dyDescent="0.25">
      <c r="A914" t="s">
        <v>919</v>
      </c>
      <c r="B914">
        <v>97.91</v>
      </c>
      <c r="C914">
        <v>240.5</v>
      </c>
      <c r="D914">
        <v>102.58</v>
      </c>
      <c r="E914">
        <v>129.11000000000001</v>
      </c>
      <c r="F914">
        <v>463.41</v>
      </c>
    </row>
    <row r="915" spans="1:6" x14ac:dyDescent="0.25">
      <c r="A915" t="s">
        <v>920</v>
      </c>
      <c r="B915">
        <v>96.03</v>
      </c>
      <c r="C915">
        <v>235.55</v>
      </c>
      <c r="D915">
        <v>100.41</v>
      </c>
      <c r="E915">
        <v>128.35</v>
      </c>
      <c r="F915">
        <v>450.97</v>
      </c>
    </row>
    <row r="916" spans="1:6" x14ac:dyDescent="0.25">
      <c r="A916" t="s">
        <v>921</v>
      </c>
      <c r="B916">
        <v>98.43</v>
      </c>
      <c r="C916">
        <v>240.84</v>
      </c>
      <c r="D916">
        <v>102.23</v>
      </c>
      <c r="E916">
        <v>129.44999999999999</v>
      </c>
      <c r="F916">
        <v>451.21</v>
      </c>
    </row>
    <row r="917" spans="1:6" x14ac:dyDescent="0.25">
      <c r="A917" t="s">
        <v>922</v>
      </c>
      <c r="B917">
        <v>96.6</v>
      </c>
      <c r="C917">
        <v>240.68</v>
      </c>
      <c r="D917">
        <v>104.13</v>
      </c>
      <c r="E917">
        <v>129.13</v>
      </c>
      <c r="F917">
        <v>457.18</v>
      </c>
    </row>
    <row r="918" spans="1:6" x14ac:dyDescent="0.25">
      <c r="A918" t="s">
        <v>923</v>
      </c>
      <c r="B918">
        <v>94.32</v>
      </c>
      <c r="C918">
        <v>233.51</v>
      </c>
      <c r="D918">
        <v>100.11</v>
      </c>
      <c r="E918">
        <v>128.34</v>
      </c>
      <c r="F918">
        <v>457.19</v>
      </c>
    </row>
    <row r="919" spans="1:6" x14ac:dyDescent="0.25">
      <c r="A919" t="s">
        <v>924</v>
      </c>
      <c r="B919">
        <v>96.78</v>
      </c>
      <c r="C919">
        <v>234.9</v>
      </c>
      <c r="D919">
        <v>100.64</v>
      </c>
      <c r="E919">
        <v>127.72</v>
      </c>
      <c r="F919">
        <v>456.36</v>
      </c>
    </row>
    <row r="920" spans="1:6" x14ac:dyDescent="0.25">
      <c r="A920" t="s">
        <v>925</v>
      </c>
      <c r="B920">
        <v>98.85</v>
      </c>
      <c r="C920">
        <v>235.42</v>
      </c>
      <c r="D920">
        <v>99.71</v>
      </c>
      <c r="E920">
        <v>126.63</v>
      </c>
      <c r="F920">
        <v>450.98</v>
      </c>
    </row>
    <row r="921" spans="1:6" x14ac:dyDescent="0.25">
      <c r="A921" t="s">
        <v>926</v>
      </c>
      <c r="B921">
        <v>97.1</v>
      </c>
      <c r="C921">
        <v>233.13</v>
      </c>
      <c r="D921">
        <v>100.23</v>
      </c>
      <c r="E921">
        <v>124.61</v>
      </c>
      <c r="F921">
        <v>451.83</v>
      </c>
    </row>
    <row r="922" spans="1:6" x14ac:dyDescent="0.25">
      <c r="A922" t="s">
        <v>927</v>
      </c>
      <c r="B922">
        <v>92.17</v>
      </c>
      <c r="C922">
        <v>225.09</v>
      </c>
      <c r="D922">
        <v>98.43</v>
      </c>
      <c r="E922">
        <v>124.31</v>
      </c>
      <c r="F922">
        <v>449.64</v>
      </c>
    </row>
    <row r="923" spans="1:6" x14ac:dyDescent="0.25">
      <c r="A923" t="s">
        <v>928</v>
      </c>
      <c r="B923">
        <v>90.26</v>
      </c>
      <c r="C923">
        <v>228.85</v>
      </c>
      <c r="D923">
        <v>97.81</v>
      </c>
      <c r="E923">
        <v>125.99</v>
      </c>
      <c r="F923">
        <v>442.1</v>
      </c>
    </row>
    <row r="924" spans="1:6" x14ac:dyDescent="0.25">
      <c r="A924" t="s">
        <v>929</v>
      </c>
      <c r="B924">
        <v>90.43</v>
      </c>
      <c r="C924">
        <v>233.26</v>
      </c>
      <c r="D924">
        <v>99.86</v>
      </c>
      <c r="E924">
        <v>129.88999999999999</v>
      </c>
      <c r="F924">
        <v>450.31</v>
      </c>
    </row>
    <row r="925" spans="1:6" x14ac:dyDescent="0.25">
      <c r="A925" t="s">
        <v>930</v>
      </c>
      <c r="B925">
        <v>91.25</v>
      </c>
      <c r="C925">
        <v>232.17</v>
      </c>
      <c r="D925">
        <v>100.05</v>
      </c>
      <c r="E925">
        <v>131.93</v>
      </c>
      <c r="F925">
        <v>454.47</v>
      </c>
    </row>
    <row r="926" spans="1:6" x14ac:dyDescent="0.25">
      <c r="A926" t="s">
        <v>931</v>
      </c>
      <c r="B926">
        <v>90.27</v>
      </c>
      <c r="C926">
        <v>231.47</v>
      </c>
      <c r="D926">
        <v>100.11</v>
      </c>
      <c r="E926">
        <v>128.68</v>
      </c>
      <c r="F926">
        <v>460.14</v>
      </c>
    </row>
    <row r="927" spans="1:6" x14ac:dyDescent="0.25">
      <c r="A927" t="s">
        <v>932</v>
      </c>
      <c r="B927">
        <v>90.66</v>
      </c>
      <c r="C927">
        <v>228.81</v>
      </c>
      <c r="D927">
        <v>98.48</v>
      </c>
      <c r="E927">
        <v>128.81</v>
      </c>
      <c r="F927">
        <v>458.03</v>
      </c>
    </row>
    <row r="928" spans="1:6" x14ac:dyDescent="0.25">
      <c r="A928" t="s">
        <v>933</v>
      </c>
      <c r="B928">
        <v>87.59</v>
      </c>
      <c r="C928">
        <v>222.1</v>
      </c>
      <c r="D928">
        <v>97.35</v>
      </c>
      <c r="E928">
        <v>127.86</v>
      </c>
      <c r="F928">
        <v>451.16</v>
      </c>
    </row>
    <row r="929" spans="1:6" x14ac:dyDescent="0.25">
      <c r="A929" t="s">
        <v>934</v>
      </c>
      <c r="B929">
        <v>87.19</v>
      </c>
      <c r="C929">
        <v>220.42</v>
      </c>
      <c r="D929">
        <v>95.91</v>
      </c>
      <c r="E929">
        <v>126.72</v>
      </c>
      <c r="F929">
        <v>454.93</v>
      </c>
    </row>
    <row r="930" spans="1:6" x14ac:dyDescent="0.25">
      <c r="A930" t="s">
        <v>935</v>
      </c>
      <c r="B930">
        <v>86.52</v>
      </c>
      <c r="C930">
        <v>218.29</v>
      </c>
      <c r="D930">
        <v>97.74</v>
      </c>
      <c r="E930">
        <v>127.25</v>
      </c>
      <c r="F930">
        <v>454.87</v>
      </c>
    </row>
    <row r="931" spans="1:6" x14ac:dyDescent="0.25">
      <c r="A931" t="s">
        <v>936</v>
      </c>
      <c r="B931">
        <v>85.39</v>
      </c>
      <c r="C931">
        <v>215.75</v>
      </c>
      <c r="D931">
        <v>96.57</v>
      </c>
      <c r="E931">
        <v>124.86</v>
      </c>
      <c r="F931">
        <v>454.84</v>
      </c>
    </row>
    <row r="932" spans="1:6" x14ac:dyDescent="0.25">
      <c r="A932" t="s">
        <v>937</v>
      </c>
      <c r="B932">
        <v>87.25</v>
      </c>
      <c r="C932">
        <v>222.34</v>
      </c>
      <c r="D932">
        <v>94.46</v>
      </c>
      <c r="E932">
        <v>124.89</v>
      </c>
      <c r="F932">
        <v>468.33</v>
      </c>
    </row>
    <row r="933" spans="1:6" x14ac:dyDescent="0.25">
      <c r="A933" t="s">
        <v>938</v>
      </c>
      <c r="B933">
        <v>88.28</v>
      </c>
      <c r="C933">
        <v>232.51</v>
      </c>
      <c r="D933">
        <v>94.18</v>
      </c>
      <c r="E933">
        <v>123.74</v>
      </c>
      <c r="F933">
        <v>481.46</v>
      </c>
    </row>
    <row r="934" spans="1:6" x14ac:dyDescent="0.25">
      <c r="A934" t="s">
        <v>939</v>
      </c>
      <c r="B934">
        <v>87.4</v>
      </c>
      <c r="C934">
        <v>232.74</v>
      </c>
      <c r="D934">
        <v>97.53</v>
      </c>
      <c r="E934">
        <v>122.8</v>
      </c>
      <c r="F934">
        <v>492.17</v>
      </c>
    </row>
    <row r="935" spans="1:6" x14ac:dyDescent="0.25">
      <c r="A935" t="s">
        <v>940</v>
      </c>
      <c r="B935">
        <v>87.62</v>
      </c>
      <c r="C935">
        <v>233.9</v>
      </c>
      <c r="D935">
        <v>96.56</v>
      </c>
      <c r="E935">
        <v>122</v>
      </c>
      <c r="F935">
        <v>491.9</v>
      </c>
    </row>
    <row r="936" spans="1:6" x14ac:dyDescent="0.25">
      <c r="A936" t="s">
        <v>941</v>
      </c>
      <c r="B936">
        <v>85.21</v>
      </c>
      <c r="C936">
        <v>227.61</v>
      </c>
      <c r="D936">
        <v>95.83</v>
      </c>
      <c r="E936">
        <v>121.3</v>
      </c>
      <c r="F936">
        <v>490.57</v>
      </c>
    </row>
    <row r="937" spans="1:6" x14ac:dyDescent="0.25">
      <c r="A937" t="s">
        <v>942</v>
      </c>
      <c r="B937">
        <v>86.57</v>
      </c>
      <c r="C937">
        <v>229.97</v>
      </c>
      <c r="D937">
        <v>97.44</v>
      </c>
      <c r="E937">
        <v>120.64</v>
      </c>
      <c r="F937">
        <v>493.85</v>
      </c>
    </row>
    <row r="938" spans="1:6" x14ac:dyDescent="0.25">
      <c r="A938" t="s">
        <v>943</v>
      </c>
      <c r="B938">
        <v>88.39</v>
      </c>
      <c r="C938">
        <v>231.69</v>
      </c>
      <c r="D938">
        <v>96.1</v>
      </c>
      <c r="E938">
        <v>120.22</v>
      </c>
      <c r="F938">
        <v>493.22</v>
      </c>
    </row>
    <row r="939" spans="1:6" x14ac:dyDescent="0.25">
      <c r="A939" t="s">
        <v>944</v>
      </c>
      <c r="B939">
        <v>86.93</v>
      </c>
      <c r="C939">
        <v>231.16</v>
      </c>
      <c r="D939">
        <v>93.62</v>
      </c>
      <c r="E939">
        <v>119.65</v>
      </c>
      <c r="F939">
        <v>489.31</v>
      </c>
    </row>
    <row r="940" spans="1:6" x14ac:dyDescent="0.25">
      <c r="A940" t="s">
        <v>945</v>
      </c>
      <c r="B940">
        <v>88.74</v>
      </c>
      <c r="C940">
        <v>237.22</v>
      </c>
      <c r="D940">
        <v>95.55</v>
      </c>
      <c r="E940">
        <v>121.02</v>
      </c>
      <c r="F940">
        <v>489.72</v>
      </c>
    </row>
    <row r="941" spans="1:6" x14ac:dyDescent="0.25">
      <c r="A941" t="s">
        <v>946</v>
      </c>
      <c r="B941">
        <v>88.18</v>
      </c>
      <c r="C941">
        <v>234.67</v>
      </c>
      <c r="D941">
        <v>94.34</v>
      </c>
      <c r="E941">
        <v>119.68</v>
      </c>
      <c r="F941">
        <v>482.92</v>
      </c>
    </row>
    <row r="942" spans="1:6" x14ac:dyDescent="0.25">
      <c r="A942" t="s">
        <v>947</v>
      </c>
      <c r="B942">
        <v>87.61</v>
      </c>
      <c r="C942">
        <v>233.35</v>
      </c>
      <c r="D942">
        <v>93</v>
      </c>
      <c r="E942">
        <v>119.1</v>
      </c>
      <c r="F942">
        <v>486.07</v>
      </c>
    </row>
    <row r="943" spans="1:6" x14ac:dyDescent="0.25">
      <c r="A943" t="s">
        <v>948</v>
      </c>
      <c r="B943">
        <v>89.41</v>
      </c>
      <c r="C943">
        <v>237.47</v>
      </c>
      <c r="D943">
        <v>92.58</v>
      </c>
      <c r="E943">
        <v>118.4</v>
      </c>
      <c r="F943">
        <v>486.16</v>
      </c>
    </row>
    <row r="944" spans="1:6" x14ac:dyDescent="0.25">
      <c r="A944" t="s">
        <v>949</v>
      </c>
      <c r="B944">
        <v>90</v>
      </c>
      <c r="C944">
        <v>241.66</v>
      </c>
      <c r="D944">
        <v>93.23</v>
      </c>
      <c r="E944">
        <v>119.14</v>
      </c>
      <c r="F944">
        <v>489.85</v>
      </c>
    </row>
    <row r="945" spans="1:6" x14ac:dyDescent="0.25">
      <c r="A945" t="s">
        <v>950</v>
      </c>
      <c r="B945">
        <v>94.17</v>
      </c>
      <c r="C945">
        <v>249.63</v>
      </c>
      <c r="D945">
        <v>94.14</v>
      </c>
      <c r="E945">
        <v>122.17</v>
      </c>
      <c r="F945">
        <v>499.77</v>
      </c>
    </row>
    <row r="946" spans="1:6" x14ac:dyDescent="0.25">
      <c r="A946" t="s">
        <v>951</v>
      </c>
      <c r="B946">
        <v>94.73</v>
      </c>
      <c r="C946">
        <v>249.34</v>
      </c>
      <c r="D946">
        <v>94.84</v>
      </c>
      <c r="E946">
        <v>122.78</v>
      </c>
      <c r="F946">
        <v>499.64</v>
      </c>
    </row>
    <row r="947" spans="1:6" x14ac:dyDescent="0.25">
      <c r="A947" t="s">
        <v>952</v>
      </c>
      <c r="B947">
        <v>92.43</v>
      </c>
      <c r="C947">
        <v>245.06</v>
      </c>
      <c r="D947">
        <v>93.81</v>
      </c>
      <c r="E947">
        <v>122.9</v>
      </c>
      <c r="F947">
        <v>506.73</v>
      </c>
    </row>
    <row r="948" spans="1:6" x14ac:dyDescent="0.25">
      <c r="A948" t="s">
        <v>953</v>
      </c>
      <c r="B948">
        <v>91.95</v>
      </c>
      <c r="C948">
        <v>238.18</v>
      </c>
      <c r="D948">
        <v>91.55</v>
      </c>
      <c r="E948">
        <v>121.02</v>
      </c>
      <c r="F948">
        <v>500.55</v>
      </c>
    </row>
    <row r="949" spans="1:6" x14ac:dyDescent="0.25">
      <c r="A949" t="s">
        <v>954</v>
      </c>
      <c r="B949">
        <v>92.83</v>
      </c>
      <c r="C949">
        <v>240.1</v>
      </c>
      <c r="D949">
        <v>92.33</v>
      </c>
      <c r="E949">
        <v>121.68</v>
      </c>
      <c r="F949">
        <v>508.64</v>
      </c>
    </row>
    <row r="950" spans="1:6" x14ac:dyDescent="0.25">
      <c r="A950" t="s">
        <v>955</v>
      </c>
      <c r="B950">
        <v>94.05</v>
      </c>
      <c r="C950">
        <v>237.16</v>
      </c>
      <c r="D950">
        <v>91.65</v>
      </c>
      <c r="E950">
        <v>120.42</v>
      </c>
      <c r="F950">
        <v>503.99</v>
      </c>
    </row>
    <row r="951" spans="1:6" x14ac:dyDescent="0.25">
      <c r="A951" t="s">
        <v>956</v>
      </c>
      <c r="B951">
        <v>96.07</v>
      </c>
      <c r="C951">
        <v>237.89</v>
      </c>
      <c r="D951">
        <v>91.86</v>
      </c>
      <c r="E951">
        <v>120.5</v>
      </c>
      <c r="F951">
        <v>500.66</v>
      </c>
    </row>
    <row r="952" spans="1:6" x14ac:dyDescent="0.25">
      <c r="A952" t="s">
        <v>957</v>
      </c>
      <c r="B952">
        <v>98.54</v>
      </c>
      <c r="C952">
        <v>242.82</v>
      </c>
      <c r="D952">
        <v>94.48</v>
      </c>
      <c r="E952">
        <v>120.3</v>
      </c>
      <c r="F952">
        <v>496.69</v>
      </c>
    </row>
    <row r="953" spans="1:6" x14ac:dyDescent="0.25">
      <c r="A953" t="s">
        <v>958</v>
      </c>
      <c r="B953">
        <v>99.49</v>
      </c>
      <c r="C953">
        <v>247.49</v>
      </c>
      <c r="D953">
        <v>97.14</v>
      </c>
      <c r="E953">
        <v>123.77</v>
      </c>
      <c r="F953">
        <v>497.73</v>
      </c>
    </row>
    <row r="954" spans="1:6" x14ac:dyDescent="0.25">
      <c r="A954" t="s">
        <v>959</v>
      </c>
      <c r="B954">
        <v>100.04</v>
      </c>
      <c r="C954">
        <v>247.17</v>
      </c>
      <c r="D954">
        <v>97.97</v>
      </c>
      <c r="E954">
        <v>124.76</v>
      </c>
      <c r="F954">
        <v>496.89</v>
      </c>
    </row>
    <row r="955" spans="1:6" x14ac:dyDescent="0.25">
      <c r="A955" t="s">
        <v>960</v>
      </c>
      <c r="B955">
        <v>100.04</v>
      </c>
      <c r="C955">
        <v>247.61</v>
      </c>
      <c r="D955">
        <v>98.45</v>
      </c>
      <c r="E955">
        <v>126.54</v>
      </c>
      <c r="F955">
        <v>506.93</v>
      </c>
    </row>
    <row r="956" spans="1:6" x14ac:dyDescent="0.25">
      <c r="A956" t="s">
        <v>961</v>
      </c>
      <c r="B956">
        <v>94.29</v>
      </c>
      <c r="C956">
        <v>233.24</v>
      </c>
      <c r="D956">
        <v>97.74</v>
      </c>
      <c r="E956">
        <v>125.05</v>
      </c>
      <c r="F956">
        <v>488.64</v>
      </c>
    </row>
    <row r="957" spans="1:6" x14ac:dyDescent="0.25">
      <c r="A957" t="s">
        <v>962</v>
      </c>
      <c r="B957">
        <v>95.14</v>
      </c>
      <c r="C957">
        <v>234.63</v>
      </c>
      <c r="D957">
        <v>97.1</v>
      </c>
      <c r="E957">
        <v>123.03</v>
      </c>
      <c r="F957">
        <v>492.6</v>
      </c>
    </row>
    <row r="958" spans="1:6" x14ac:dyDescent="0.25">
      <c r="A958" t="s">
        <v>963</v>
      </c>
      <c r="B958">
        <v>96.54</v>
      </c>
      <c r="C958">
        <v>240.19</v>
      </c>
      <c r="D958">
        <v>100.11</v>
      </c>
      <c r="E958">
        <v>125.22</v>
      </c>
      <c r="F958">
        <v>497.55</v>
      </c>
    </row>
    <row r="959" spans="1:6" x14ac:dyDescent="0.25">
      <c r="A959" t="s">
        <v>964</v>
      </c>
      <c r="B959">
        <v>97.53</v>
      </c>
      <c r="C959">
        <v>240.27</v>
      </c>
      <c r="D959">
        <v>100.46</v>
      </c>
      <c r="E959">
        <v>124.98</v>
      </c>
      <c r="F959">
        <v>490.23</v>
      </c>
    </row>
    <row r="960" spans="1:6" x14ac:dyDescent="0.25">
      <c r="A960" t="s">
        <v>965</v>
      </c>
      <c r="B960">
        <v>96.14</v>
      </c>
      <c r="C960">
        <v>237.8</v>
      </c>
      <c r="D960">
        <v>100.96</v>
      </c>
      <c r="E960">
        <v>123.66</v>
      </c>
      <c r="F960">
        <v>484.1</v>
      </c>
    </row>
    <row r="961" spans="1:6" x14ac:dyDescent="0.25">
      <c r="A961" t="s">
        <v>966</v>
      </c>
      <c r="B961">
        <v>94.7</v>
      </c>
      <c r="C961">
        <v>234.91</v>
      </c>
      <c r="D961">
        <v>98.12</v>
      </c>
      <c r="E961">
        <v>121.84</v>
      </c>
      <c r="F961">
        <v>478.64</v>
      </c>
    </row>
    <row r="962" spans="1:6" x14ac:dyDescent="0.25">
      <c r="A962" t="s">
        <v>967</v>
      </c>
      <c r="B962">
        <v>96.51</v>
      </c>
      <c r="C962">
        <v>234.1</v>
      </c>
      <c r="D962">
        <v>99.11</v>
      </c>
      <c r="E962">
        <v>122.56</v>
      </c>
      <c r="F962">
        <v>490.49</v>
      </c>
    </row>
    <row r="963" spans="1:6" x14ac:dyDescent="0.25">
      <c r="A963" t="s">
        <v>968</v>
      </c>
      <c r="B963">
        <v>97.43</v>
      </c>
      <c r="C963">
        <v>234.55</v>
      </c>
      <c r="D963">
        <v>99.97</v>
      </c>
      <c r="E963">
        <v>121.37</v>
      </c>
      <c r="F963">
        <v>476.9</v>
      </c>
    </row>
    <row r="964" spans="1:6" x14ac:dyDescent="0.25">
      <c r="A964" t="s">
        <v>969</v>
      </c>
      <c r="B964">
        <v>97.92</v>
      </c>
      <c r="C964">
        <v>234.6</v>
      </c>
      <c r="D964">
        <v>99.84</v>
      </c>
      <c r="E964">
        <v>121.9</v>
      </c>
      <c r="F964">
        <v>473.39</v>
      </c>
    </row>
    <row r="965" spans="1:6" x14ac:dyDescent="0.25">
      <c r="A965" t="s">
        <v>970</v>
      </c>
      <c r="B965">
        <v>97.51</v>
      </c>
      <c r="C965">
        <v>234.17</v>
      </c>
      <c r="D965">
        <v>100.92</v>
      </c>
      <c r="E965">
        <v>121.74</v>
      </c>
      <c r="F965">
        <v>465.52</v>
      </c>
    </row>
    <row r="966" spans="1:6" x14ac:dyDescent="0.25">
      <c r="A966" t="s">
        <v>971</v>
      </c>
      <c r="B966">
        <v>94.8</v>
      </c>
      <c r="C966">
        <v>233.76</v>
      </c>
      <c r="D966">
        <v>100.25</v>
      </c>
      <c r="E966">
        <v>122.63</v>
      </c>
      <c r="F966">
        <v>475.46</v>
      </c>
    </row>
    <row r="967" spans="1:6" x14ac:dyDescent="0.25">
      <c r="A967" t="s">
        <v>972</v>
      </c>
      <c r="B967">
        <v>95.5</v>
      </c>
      <c r="C967">
        <v>239.14</v>
      </c>
      <c r="D967">
        <v>99.96</v>
      </c>
      <c r="E967">
        <v>123.9</v>
      </c>
      <c r="F967">
        <v>483.16</v>
      </c>
    </row>
    <row r="968" spans="1:6" x14ac:dyDescent="0.25">
      <c r="A968" t="s">
        <v>973</v>
      </c>
      <c r="B968">
        <v>93.05</v>
      </c>
      <c r="C968">
        <v>235.15</v>
      </c>
      <c r="D968">
        <v>96.93</v>
      </c>
      <c r="E968">
        <v>123.7</v>
      </c>
      <c r="F968">
        <v>503.61</v>
      </c>
    </row>
    <row r="969" spans="1:6" x14ac:dyDescent="0.25">
      <c r="A969" t="s">
        <v>974</v>
      </c>
      <c r="B969">
        <v>86.5</v>
      </c>
      <c r="C969">
        <v>217.27</v>
      </c>
      <c r="D969">
        <v>95.53</v>
      </c>
      <c r="E969">
        <v>118.81</v>
      </c>
      <c r="F969">
        <v>500.36</v>
      </c>
    </row>
    <row r="970" spans="1:6" x14ac:dyDescent="0.25">
      <c r="A970" t="s">
        <v>975</v>
      </c>
      <c r="B970">
        <v>88.06</v>
      </c>
      <c r="C970">
        <v>221.49</v>
      </c>
      <c r="D970">
        <v>100</v>
      </c>
      <c r="E970">
        <v>120.37</v>
      </c>
      <c r="F970">
        <v>511.83</v>
      </c>
    </row>
    <row r="971" spans="1:6" x14ac:dyDescent="0.25">
      <c r="A971" t="s">
        <v>976</v>
      </c>
      <c r="B971">
        <v>87.66</v>
      </c>
      <c r="C971">
        <v>220.52</v>
      </c>
      <c r="D971">
        <v>99.68</v>
      </c>
      <c r="E971">
        <v>120.3</v>
      </c>
      <c r="F971">
        <v>504.4</v>
      </c>
    </row>
    <row r="972" spans="1:6" x14ac:dyDescent="0.25">
      <c r="A972" t="s">
        <v>977</v>
      </c>
      <c r="B972">
        <v>85.76</v>
      </c>
      <c r="C972">
        <v>214.25</v>
      </c>
      <c r="D972">
        <v>98.52</v>
      </c>
      <c r="E972">
        <v>119.67</v>
      </c>
      <c r="F972">
        <v>498.06</v>
      </c>
    </row>
    <row r="973" spans="1:6" x14ac:dyDescent="0.25">
      <c r="A973" t="s">
        <v>978</v>
      </c>
      <c r="B973">
        <v>82.64</v>
      </c>
      <c r="C973">
        <v>207.34</v>
      </c>
      <c r="D973">
        <v>97.46</v>
      </c>
      <c r="E973">
        <v>116.48</v>
      </c>
      <c r="F973">
        <v>503.09</v>
      </c>
    </row>
    <row r="974" spans="1:6" x14ac:dyDescent="0.25">
      <c r="A974" t="s">
        <v>979</v>
      </c>
      <c r="B974">
        <v>86.15</v>
      </c>
      <c r="C974">
        <v>213.01</v>
      </c>
      <c r="D974">
        <v>96.15</v>
      </c>
      <c r="E974">
        <v>116.27</v>
      </c>
      <c r="F974">
        <v>502.92</v>
      </c>
    </row>
    <row r="975" spans="1:6" x14ac:dyDescent="0.25">
      <c r="A975" t="s">
        <v>980</v>
      </c>
      <c r="B975">
        <v>89.62</v>
      </c>
      <c r="C975">
        <v>220.81</v>
      </c>
      <c r="D975">
        <v>98.17</v>
      </c>
      <c r="E975">
        <v>117.35</v>
      </c>
      <c r="F975">
        <v>506.51</v>
      </c>
    </row>
    <row r="976" spans="1:6" x14ac:dyDescent="0.25">
      <c r="A976" t="s">
        <v>981</v>
      </c>
      <c r="B976">
        <v>93.62</v>
      </c>
      <c r="C976">
        <v>224.65</v>
      </c>
      <c r="D976">
        <v>97.2</v>
      </c>
      <c r="E976">
        <v>115.27</v>
      </c>
      <c r="F976">
        <v>513.77</v>
      </c>
    </row>
    <row r="977" spans="1:6" x14ac:dyDescent="0.25">
      <c r="A977" t="s">
        <v>982</v>
      </c>
      <c r="B977">
        <v>95.38</v>
      </c>
      <c r="C977">
        <v>228.27</v>
      </c>
      <c r="D977">
        <v>97.1</v>
      </c>
      <c r="E977">
        <v>115.46</v>
      </c>
      <c r="F977">
        <v>510.15</v>
      </c>
    </row>
    <row r="978" spans="1:6" x14ac:dyDescent="0.25">
      <c r="A978" t="s">
        <v>983</v>
      </c>
      <c r="B978">
        <v>91.35</v>
      </c>
      <c r="C978">
        <v>219.44</v>
      </c>
      <c r="D978">
        <v>94.34</v>
      </c>
      <c r="E978">
        <v>114.1</v>
      </c>
      <c r="F978">
        <v>501.41</v>
      </c>
    </row>
    <row r="979" spans="1:6" x14ac:dyDescent="0.25">
      <c r="A979" t="s">
        <v>984</v>
      </c>
      <c r="B979">
        <v>94.04</v>
      </c>
      <c r="C979">
        <v>223.86</v>
      </c>
      <c r="D979">
        <v>93.98</v>
      </c>
      <c r="E979">
        <v>113.65</v>
      </c>
      <c r="F979">
        <v>502.68</v>
      </c>
    </row>
    <row r="980" spans="1:6" x14ac:dyDescent="0.25">
      <c r="A980" t="s">
        <v>985</v>
      </c>
      <c r="B980">
        <v>103.5</v>
      </c>
      <c r="C980">
        <v>242.58</v>
      </c>
      <c r="D980">
        <v>92.88</v>
      </c>
      <c r="E980">
        <v>112.36</v>
      </c>
      <c r="F980">
        <v>499.95</v>
      </c>
    </row>
    <row r="981" spans="1:6" x14ac:dyDescent="0.25">
      <c r="A981" t="s">
        <v>986</v>
      </c>
      <c r="B981">
        <v>101.55</v>
      </c>
      <c r="C981">
        <v>239.28</v>
      </c>
      <c r="D981">
        <v>93.51</v>
      </c>
      <c r="E981">
        <v>112.07</v>
      </c>
      <c r="F981">
        <v>501.23</v>
      </c>
    </row>
    <row r="982" spans="1:6" x14ac:dyDescent="0.25">
      <c r="A982" t="s">
        <v>987</v>
      </c>
      <c r="B982">
        <v>100.18</v>
      </c>
      <c r="C982">
        <v>234.32</v>
      </c>
      <c r="D982">
        <v>92.86</v>
      </c>
      <c r="E982">
        <v>111.93</v>
      </c>
      <c r="F982">
        <v>493.95</v>
      </c>
    </row>
    <row r="983" spans="1:6" x14ac:dyDescent="0.25">
      <c r="A983" t="s">
        <v>988</v>
      </c>
      <c r="B983">
        <v>99.03</v>
      </c>
      <c r="C983">
        <v>228.54</v>
      </c>
      <c r="D983">
        <v>91.17</v>
      </c>
      <c r="E983">
        <v>106.35</v>
      </c>
      <c r="F983">
        <v>482.05</v>
      </c>
    </row>
    <row r="984" spans="1:6" x14ac:dyDescent="0.25">
      <c r="A984" t="s">
        <v>989</v>
      </c>
      <c r="B984">
        <v>98.69</v>
      </c>
      <c r="C984">
        <v>228.86</v>
      </c>
      <c r="D984">
        <v>91.04</v>
      </c>
      <c r="E984">
        <v>106.69</v>
      </c>
      <c r="F984">
        <v>481.54</v>
      </c>
    </row>
    <row r="985" spans="1:6" x14ac:dyDescent="0.25">
      <c r="A985" t="s">
        <v>990</v>
      </c>
      <c r="B985">
        <v>99.82</v>
      </c>
      <c r="C985">
        <v>230.81</v>
      </c>
      <c r="D985">
        <v>88.42</v>
      </c>
      <c r="E985">
        <v>108.83</v>
      </c>
      <c r="F985">
        <v>483.29</v>
      </c>
    </row>
    <row r="986" spans="1:6" x14ac:dyDescent="0.25">
      <c r="A986" t="s">
        <v>991</v>
      </c>
      <c r="B986">
        <v>99.03</v>
      </c>
      <c r="C986">
        <v>229.87</v>
      </c>
      <c r="D986">
        <v>88.26</v>
      </c>
      <c r="E986">
        <v>106.1</v>
      </c>
      <c r="F986">
        <v>482.98</v>
      </c>
    </row>
    <row r="987" spans="1:6" x14ac:dyDescent="0.25">
      <c r="A987" t="s">
        <v>992</v>
      </c>
      <c r="B987">
        <v>95.65</v>
      </c>
      <c r="C987">
        <v>221.19</v>
      </c>
      <c r="D987">
        <v>87.01</v>
      </c>
      <c r="E987">
        <v>101.82</v>
      </c>
      <c r="F987">
        <v>474.88</v>
      </c>
    </row>
    <row r="988" spans="1:6" x14ac:dyDescent="0.25">
      <c r="A988" t="s">
        <v>993</v>
      </c>
      <c r="B988">
        <v>98.13</v>
      </c>
      <c r="C988">
        <v>226.69</v>
      </c>
      <c r="D988">
        <v>89.36</v>
      </c>
      <c r="E988">
        <v>100.15</v>
      </c>
      <c r="F988">
        <v>471.9</v>
      </c>
    </row>
    <row r="989" spans="1:6" x14ac:dyDescent="0.25">
      <c r="A989" t="s">
        <v>994</v>
      </c>
      <c r="B989">
        <v>96.64</v>
      </c>
      <c r="C989">
        <v>218.47</v>
      </c>
      <c r="D989">
        <v>86.34</v>
      </c>
      <c r="E989">
        <v>94.88</v>
      </c>
      <c r="F989">
        <v>462.69</v>
      </c>
    </row>
    <row r="990" spans="1:6" x14ac:dyDescent="0.25">
      <c r="A990" t="s">
        <v>995</v>
      </c>
      <c r="B990">
        <v>96.26</v>
      </c>
      <c r="C990">
        <v>218.14</v>
      </c>
      <c r="D990">
        <v>85.96</v>
      </c>
      <c r="E990">
        <v>93.37</v>
      </c>
      <c r="F990">
        <v>462.55</v>
      </c>
    </row>
    <row r="991" spans="1:6" x14ac:dyDescent="0.25">
      <c r="A991" t="s">
        <v>996</v>
      </c>
      <c r="B991">
        <v>96.94</v>
      </c>
      <c r="C991">
        <v>221.86</v>
      </c>
      <c r="D991">
        <v>86.7</v>
      </c>
      <c r="E991">
        <v>96.14</v>
      </c>
      <c r="F991">
        <v>461.68</v>
      </c>
    </row>
    <row r="992" spans="1:6" x14ac:dyDescent="0.25">
      <c r="A992" t="s">
        <v>997</v>
      </c>
      <c r="B992">
        <v>97.75</v>
      </c>
      <c r="C992">
        <v>226.69</v>
      </c>
      <c r="D992">
        <v>88.62</v>
      </c>
      <c r="E992">
        <v>97.05</v>
      </c>
      <c r="F992">
        <v>467.22</v>
      </c>
    </row>
    <row r="993" spans="1:6" x14ac:dyDescent="0.25">
      <c r="A993" t="s">
        <v>998</v>
      </c>
      <c r="B993">
        <v>100.46</v>
      </c>
      <c r="C993">
        <v>238.83</v>
      </c>
      <c r="D993">
        <v>89.53</v>
      </c>
      <c r="E993">
        <v>99.03</v>
      </c>
      <c r="F993">
        <v>480.43</v>
      </c>
    </row>
    <row r="994" spans="1:6" x14ac:dyDescent="0.25">
      <c r="A994" t="s">
        <v>999</v>
      </c>
      <c r="B994">
        <v>100.47</v>
      </c>
      <c r="C994">
        <v>241.17</v>
      </c>
      <c r="D994">
        <v>86.95</v>
      </c>
      <c r="E994">
        <v>101.09</v>
      </c>
      <c r="F994">
        <v>487.78</v>
      </c>
    </row>
    <row r="995" spans="1:6" x14ac:dyDescent="0.25">
      <c r="A995" t="s">
        <v>1000</v>
      </c>
      <c r="B995">
        <v>100.68</v>
      </c>
      <c r="C995">
        <v>240.86</v>
      </c>
      <c r="D995">
        <v>83.57</v>
      </c>
      <c r="E995">
        <v>102.35</v>
      </c>
      <c r="F995">
        <v>484.17</v>
      </c>
    </row>
    <row r="996" spans="1:6" x14ac:dyDescent="0.25">
      <c r="A996" t="s">
        <v>1001</v>
      </c>
      <c r="B996">
        <v>97.71</v>
      </c>
      <c r="C996">
        <v>232.98</v>
      </c>
      <c r="D996">
        <v>80.63</v>
      </c>
      <c r="E996">
        <v>97.78</v>
      </c>
      <c r="F996">
        <v>477.08</v>
      </c>
    </row>
    <row r="997" spans="1:6" x14ac:dyDescent="0.25">
      <c r="A997" t="s">
        <v>1002</v>
      </c>
      <c r="B997">
        <v>94.75</v>
      </c>
      <c r="C997">
        <v>225.39</v>
      </c>
      <c r="D997">
        <v>76.59</v>
      </c>
      <c r="E997">
        <v>94.85</v>
      </c>
      <c r="F997">
        <v>467.39</v>
      </c>
    </row>
    <row r="998" spans="1:6" x14ac:dyDescent="0.25">
      <c r="A998" t="s">
        <v>1003</v>
      </c>
      <c r="B998">
        <v>96.5</v>
      </c>
      <c r="C998">
        <v>229.84</v>
      </c>
      <c r="D998">
        <v>77.790000000000006</v>
      </c>
      <c r="E998">
        <v>96.35</v>
      </c>
      <c r="F998">
        <v>470.9</v>
      </c>
    </row>
    <row r="999" spans="1:6" x14ac:dyDescent="0.25">
      <c r="A999" t="s">
        <v>1004</v>
      </c>
      <c r="B999">
        <v>99.11</v>
      </c>
      <c r="C999">
        <v>233.3</v>
      </c>
      <c r="D999">
        <v>77.95</v>
      </c>
      <c r="E999">
        <v>98.01</v>
      </c>
      <c r="F999">
        <v>475.63</v>
      </c>
    </row>
    <row r="1000" spans="1:6" x14ac:dyDescent="0.25">
      <c r="A1000" t="s">
        <v>1005</v>
      </c>
      <c r="B1000">
        <v>96.58</v>
      </c>
      <c r="C1000">
        <v>228.79</v>
      </c>
      <c r="D1000">
        <v>75.209999999999994</v>
      </c>
      <c r="E1000">
        <v>96.07</v>
      </c>
      <c r="F1000">
        <v>470.48</v>
      </c>
    </row>
    <row r="1001" spans="1:6" x14ac:dyDescent="0.25">
      <c r="A1001" t="s">
        <v>1006</v>
      </c>
      <c r="B1001">
        <v>97.24</v>
      </c>
      <c r="C1001">
        <v>229.8</v>
      </c>
      <c r="D1001">
        <v>73.67</v>
      </c>
      <c r="E1001">
        <v>96.93</v>
      </c>
      <c r="F1001">
        <v>470.47</v>
      </c>
    </row>
    <row r="1002" spans="1:6" x14ac:dyDescent="0.25">
      <c r="A1002" t="s">
        <v>1007</v>
      </c>
      <c r="B1002">
        <v>97.81</v>
      </c>
      <c r="C1002">
        <v>230.25</v>
      </c>
      <c r="D1002">
        <v>75.22</v>
      </c>
      <c r="E1002">
        <v>99.06</v>
      </c>
      <c r="F1002">
        <v>475.33</v>
      </c>
    </row>
    <row r="1003" spans="1:6" x14ac:dyDescent="0.25">
      <c r="A1003" t="s">
        <v>1008</v>
      </c>
      <c r="B1003">
        <v>99.2</v>
      </c>
      <c r="C1003">
        <v>233.21</v>
      </c>
      <c r="D1003">
        <v>79.45</v>
      </c>
      <c r="E1003">
        <v>100.94</v>
      </c>
      <c r="F1003">
        <v>478.89</v>
      </c>
    </row>
    <row r="1004" spans="1:6" x14ac:dyDescent="0.25">
      <c r="A1004" t="s">
        <v>1009</v>
      </c>
      <c r="B1004">
        <v>98.34</v>
      </c>
      <c r="C1004">
        <v>231.25</v>
      </c>
      <c r="D1004">
        <v>79.78</v>
      </c>
      <c r="E1004">
        <v>102.1</v>
      </c>
      <c r="F1004">
        <v>473.91</v>
      </c>
    </row>
    <row r="1005" spans="1:6" x14ac:dyDescent="0.25">
      <c r="A1005" t="s">
        <v>1010</v>
      </c>
      <c r="B1005">
        <v>100.19</v>
      </c>
      <c r="C1005">
        <v>234.63</v>
      </c>
      <c r="D1005">
        <v>81.09</v>
      </c>
      <c r="E1005">
        <v>105.13</v>
      </c>
      <c r="F1005">
        <v>483.83</v>
      </c>
    </row>
    <row r="1006" spans="1:6" x14ac:dyDescent="0.25">
      <c r="A1006" t="s">
        <v>1011</v>
      </c>
      <c r="B1006">
        <v>102.1</v>
      </c>
      <c r="C1006">
        <v>236.64</v>
      </c>
      <c r="D1006">
        <v>81.75</v>
      </c>
      <c r="E1006">
        <v>107.24</v>
      </c>
      <c r="F1006">
        <v>484.53</v>
      </c>
    </row>
    <row r="1007" spans="1:6" x14ac:dyDescent="0.25">
      <c r="A1007" t="s">
        <v>1012</v>
      </c>
      <c r="B1007">
        <v>101.83</v>
      </c>
      <c r="C1007">
        <v>236.85</v>
      </c>
      <c r="D1007">
        <v>81.760000000000005</v>
      </c>
      <c r="E1007">
        <v>106.26</v>
      </c>
      <c r="F1007">
        <v>482.18</v>
      </c>
    </row>
    <row r="1008" spans="1:6" x14ac:dyDescent="0.25">
      <c r="A1008" t="s">
        <v>1013</v>
      </c>
      <c r="B1008">
        <v>101.94</v>
      </c>
      <c r="C1008">
        <v>237.47</v>
      </c>
      <c r="D1008">
        <v>83.18</v>
      </c>
      <c r="E1008">
        <v>106.98</v>
      </c>
      <c r="F1008">
        <v>483.93</v>
      </c>
    </row>
    <row r="1009" spans="1:6" x14ac:dyDescent="0.25">
      <c r="A1009" t="s">
        <v>1014</v>
      </c>
      <c r="B1009">
        <v>104.01</v>
      </c>
      <c r="C1009">
        <v>244.09</v>
      </c>
      <c r="D1009">
        <v>85.67</v>
      </c>
      <c r="E1009">
        <v>105.39</v>
      </c>
      <c r="F1009">
        <v>471.77</v>
      </c>
    </row>
    <row r="1010" spans="1:6" x14ac:dyDescent="0.25">
      <c r="A1010" t="s">
        <v>1015</v>
      </c>
      <c r="B1010">
        <v>103.34</v>
      </c>
      <c r="C1010">
        <v>243.87</v>
      </c>
      <c r="D1010">
        <v>83.62</v>
      </c>
      <c r="E1010">
        <v>105.64</v>
      </c>
      <c r="F1010">
        <v>475.65</v>
      </c>
    </row>
    <row r="1011" spans="1:6" x14ac:dyDescent="0.25">
      <c r="A1011" t="s">
        <v>1016</v>
      </c>
      <c r="B1011">
        <v>109.82</v>
      </c>
      <c r="C1011">
        <v>258.05</v>
      </c>
      <c r="D1011">
        <v>85.62</v>
      </c>
      <c r="E1011">
        <v>109.44</v>
      </c>
      <c r="F1011">
        <v>491.65</v>
      </c>
    </row>
    <row r="1012" spans="1:6" x14ac:dyDescent="0.25">
      <c r="A1012" t="s">
        <v>1017</v>
      </c>
      <c r="B1012">
        <v>109.61</v>
      </c>
      <c r="C1012">
        <v>255.94</v>
      </c>
      <c r="D1012">
        <v>84.65</v>
      </c>
      <c r="E1012">
        <v>108.16</v>
      </c>
      <c r="F1012">
        <v>485.26</v>
      </c>
    </row>
    <row r="1013" spans="1:6" x14ac:dyDescent="0.25">
      <c r="A1013" t="s">
        <v>1018</v>
      </c>
      <c r="B1013">
        <v>107.36</v>
      </c>
      <c r="C1013">
        <v>250.19</v>
      </c>
      <c r="D1013">
        <v>83.25</v>
      </c>
      <c r="E1013">
        <v>107.64</v>
      </c>
      <c r="F1013">
        <v>486.66</v>
      </c>
    </row>
    <row r="1014" spans="1:6" x14ac:dyDescent="0.25">
      <c r="A1014" t="s">
        <v>1019</v>
      </c>
      <c r="B1014">
        <v>108.42</v>
      </c>
      <c r="C1014">
        <v>249.77</v>
      </c>
      <c r="D1014">
        <v>82.58</v>
      </c>
      <c r="E1014">
        <v>105.19</v>
      </c>
      <c r="F1014">
        <v>481.28</v>
      </c>
    </row>
    <row r="1015" spans="1:6" x14ac:dyDescent="0.25">
      <c r="A1015" t="s">
        <v>1020</v>
      </c>
      <c r="B1015">
        <v>105.8</v>
      </c>
      <c r="C1015">
        <v>245.09</v>
      </c>
      <c r="D1015">
        <v>83.29</v>
      </c>
      <c r="E1015">
        <v>103.23</v>
      </c>
      <c r="F1015">
        <v>477.59</v>
      </c>
    </row>
    <row r="1016" spans="1:6" x14ac:dyDescent="0.25">
      <c r="A1016" t="s">
        <v>1021</v>
      </c>
      <c r="B1016">
        <v>106.83</v>
      </c>
      <c r="C1016">
        <v>247.81</v>
      </c>
      <c r="D1016">
        <v>83.85</v>
      </c>
      <c r="E1016">
        <v>103.21</v>
      </c>
      <c r="F1016">
        <v>476.37</v>
      </c>
    </row>
    <row r="1017" spans="1:6" x14ac:dyDescent="0.25">
      <c r="A1017" t="s">
        <v>1022</v>
      </c>
      <c r="B1017">
        <v>108.71</v>
      </c>
      <c r="C1017">
        <v>252.01</v>
      </c>
      <c r="D1017">
        <v>82.34</v>
      </c>
      <c r="E1017">
        <v>103.93</v>
      </c>
      <c r="F1017">
        <v>483.42</v>
      </c>
    </row>
    <row r="1018" spans="1:6" x14ac:dyDescent="0.25">
      <c r="A1018" t="s">
        <v>1023</v>
      </c>
      <c r="B1018">
        <v>107.2</v>
      </c>
      <c r="C1018">
        <v>253.04</v>
      </c>
      <c r="D1018">
        <v>83.85</v>
      </c>
      <c r="E1018">
        <v>103.22</v>
      </c>
      <c r="F1018">
        <v>479.12</v>
      </c>
    </row>
    <row r="1019" spans="1:6" x14ac:dyDescent="0.25">
      <c r="A1019" t="s">
        <v>1024</v>
      </c>
      <c r="B1019">
        <v>107.91</v>
      </c>
      <c r="C1019">
        <v>254.49</v>
      </c>
      <c r="D1019">
        <v>84.48</v>
      </c>
      <c r="E1019">
        <v>103.84</v>
      </c>
      <c r="F1019">
        <v>482.35</v>
      </c>
    </row>
    <row r="1020" spans="1:6" x14ac:dyDescent="0.25">
      <c r="A1020" t="s">
        <v>1025</v>
      </c>
      <c r="B1020">
        <v>108.39</v>
      </c>
      <c r="C1020">
        <v>256.68</v>
      </c>
      <c r="D1020">
        <v>87.82</v>
      </c>
      <c r="E1020">
        <v>103.82</v>
      </c>
      <c r="F1020">
        <v>488.75</v>
      </c>
    </row>
    <row r="1021" spans="1:6" x14ac:dyDescent="0.25">
      <c r="A1021" t="s">
        <v>1026</v>
      </c>
      <c r="B1021">
        <v>109.3</v>
      </c>
      <c r="C1021">
        <v>259.45</v>
      </c>
      <c r="D1021">
        <v>85.85</v>
      </c>
      <c r="E1021">
        <v>104.08</v>
      </c>
      <c r="F1021">
        <v>488.27</v>
      </c>
    </row>
    <row r="1022" spans="1:6" x14ac:dyDescent="0.25">
      <c r="A1022" t="s">
        <v>1027</v>
      </c>
      <c r="B1022">
        <v>115.55</v>
      </c>
      <c r="C1022">
        <v>269.86</v>
      </c>
      <c r="D1022">
        <v>86.92</v>
      </c>
      <c r="E1022">
        <v>107.6</v>
      </c>
      <c r="F1022">
        <v>499.63</v>
      </c>
    </row>
    <row r="1023" spans="1:6" x14ac:dyDescent="0.25">
      <c r="A1023" t="s">
        <v>1028</v>
      </c>
      <c r="B1023">
        <v>112.62</v>
      </c>
      <c r="C1023">
        <v>266.89999999999998</v>
      </c>
      <c r="D1023">
        <v>86.47</v>
      </c>
      <c r="E1023">
        <v>105.1</v>
      </c>
      <c r="F1023">
        <v>494.92</v>
      </c>
    </row>
    <row r="1024" spans="1:6" x14ac:dyDescent="0.25">
      <c r="A1024" t="s">
        <v>1029</v>
      </c>
      <c r="B1024">
        <v>112.79</v>
      </c>
      <c r="C1024">
        <v>267.52999999999997</v>
      </c>
      <c r="D1024">
        <v>85.96</v>
      </c>
      <c r="E1024">
        <v>104.85</v>
      </c>
      <c r="F1024">
        <v>494.31</v>
      </c>
    </row>
    <row r="1025" spans="1:6" x14ac:dyDescent="0.25">
      <c r="A1025" t="s">
        <v>1030</v>
      </c>
      <c r="B1025">
        <v>113.16</v>
      </c>
      <c r="C1025">
        <v>268.8</v>
      </c>
      <c r="D1025">
        <v>82.46</v>
      </c>
      <c r="E1025">
        <v>105.89</v>
      </c>
      <c r="F1025">
        <v>502.4</v>
      </c>
    </row>
    <row r="1026" spans="1:6" x14ac:dyDescent="0.25">
      <c r="A1026" t="s">
        <v>1031</v>
      </c>
      <c r="B1026">
        <v>116.11</v>
      </c>
      <c r="C1026">
        <v>276.93</v>
      </c>
      <c r="D1026">
        <v>82.53</v>
      </c>
      <c r="E1026">
        <v>107.67</v>
      </c>
      <c r="F1026">
        <v>505.86</v>
      </c>
    </row>
    <row r="1027" spans="1:6" x14ac:dyDescent="0.25">
      <c r="A1027" t="s">
        <v>1032</v>
      </c>
      <c r="B1027">
        <v>119.04</v>
      </c>
      <c r="C1027">
        <v>280.82</v>
      </c>
      <c r="D1027">
        <v>82.79</v>
      </c>
      <c r="E1027">
        <v>110.4</v>
      </c>
      <c r="F1027">
        <v>503</v>
      </c>
    </row>
    <row r="1028" spans="1:6" x14ac:dyDescent="0.25">
      <c r="A1028" t="s">
        <v>1033</v>
      </c>
      <c r="B1028">
        <v>118.42</v>
      </c>
      <c r="C1028">
        <v>281.93</v>
      </c>
      <c r="D1028">
        <v>80.88</v>
      </c>
      <c r="E1028">
        <v>111.27</v>
      </c>
      <c r="F1028">
        <v>502.8</v>
      </c>
    </row>
    <row r="1029" spans="1:6" x14ac:dyDescent="0.25">
      <c r="A1029" t="s">
        <v>1034</v>
      </c>
      <c r="B1029">
        <v>120.55</v>
      </c>
      <c r="C1029">
        <v>282.67</v>
      </c>
      <c r="D1029">
        <v>80.23</v>
      </c>
      <c r="E1029">
        <v>112.21</v>
      </c>
      <c r="F1029">
        <v>503.83</v>
      </c>
    </row>
    <row r="1030" spans="1:6" x14ac:dyDescent="0.25">
      <c r="A1030" t="s">
        <v>1035</v>
      </c>
      <c r="B1030">
        <v>120.93</v>
      </c>
      <c r="C1030">
        <v>283.41000000000003</v>
      </c>
      <c r="D1030">
        <v>80.98</v>
      </c>
      <c r="E1030">
        <v>111.15</v>
      </c>
      <c r="F1030">
        <v>502.47</v>
      </c>
    </row>
    <row r="1031" spans="1:6" x14ac:dyDescent="0.25">
      <c r="A1031" t="s">
        <v>1036</v>
      </c>
      <c r="B1031">
        <v>120.53</v>
      </c>
      <c r="C1031">
        <v>281.89999999999998</v>
      </c>
      <c r="D1031">
        <v>82.46</v>
      </c>
      <c r="E1031">
        <v>110.85</v>
      </c>
      <c r="F1031">
        <v>501.6</v>
      </c>
    </row>
    <row r="1032" spans="1:6" x14ac:dyDescent="0.25">
      <c r="A1032" t="s">
        <v>1037</v>
      </c>
      <c r="B1032">
        <v>117.72</v>
      </c>
      <c r="C1032">
        <v>277.18</v>
      </c>
      <c r="D1032">
        <v>81.739999999999995</v>
      </c>
      <c r="E1032">
        <v>109.04</v>
      </c>
      <c r="F1032">
        <v>491.6</v>
      </c>
    </row>
    <row r="1033" spans="1:6" x14ac:dyDescent="0.25">
      <c r="A1033" t="s">
        <v>1038</v>
      </c>
      <c r="B1033">
        <v>118.57</v>
      </c>
      <c r="C1033">
        <v>279.25</v>
      </c>
      <c r="D1033">
        <v>79.45</v>
      </c>
      <c r="E1033">
        <v>107.45</v>
      </c>
      <c r="F1033">
        <v>496.08</v>
      </c>
    </row>
    <row r="1034" spans="1:6" x14ac:dyDescent="0.25">
      <c r="A1034" t="s">
        <v>1039</v>
      </c>
      <c r="B1034">
        <v>115.53</v>
      </c>
      <c r="C1034">
        <v>272.62</v>
      </c>
      <c r="D1034">
        <v>78.7</v>
      </c>
      <c r="E1034">
        <v>104.72</v>
      </c>
      <c r="F1034">
        <v>495.66</v>
      </c>
    </row>
    <row r="1035" spans="1:6" x14ac:dyDescent="0.25">
      <c r="A1035" t="s">
        <v>1040</v>
      </c>
      <c r="B1035">
        <v>116.19</v>
      </c>
      <c r="C1035">
        <v>270.70999999999998</v>
      </c>
      <c r="D1035">
        <v>77.27</v>
      </c>
      <c r="E1035">
        <v>103.79</v>
      </c>
      <c r="F1035">
        <v>495.05</v>
      </c>
    </row>
    <row r="1036" spans="1:6" x14ac:dyDescent="0.25">
      <c r="A1036" t="s">
        <v>1041</v>
      </c>
      <c r="B1036">
        <v>116.36</v>
      </c>
      <c r="C1036">
        <v>273.20999999999998</v>
      </c>
      <c r="D1036">
        <v>76.84</v>
      </c>
      <c r="E1036">
        <v>105.07</v>
      </c>
      <c r="F1036">
        <v>493.63</v>
      </c>
    </row>
    <row r="1037" spans="1:6" x14ac:dyDescent="0.25">
      <c r="A1037" t="s">
        <v>1042</v>
      </c>
      <c r="B1037">
        <v>117.08</v>
      </c>
      <c r="C1037">
        <v>273.93</v>
      </c>
      <c r="D1037">
        <v>75.75</v>
      </c>
      <c r="E1037">
        <v>101.98</v>
      </c>
      <c r="F1037">
        <v>492.42</v>
      </c>
    </row>
    <row r="1038" spans="1:6" x14ac:dyDescent="0.25">
      <c r="A1038" t="s">
        <v>1043</v>
      </c>
      <c r="B1038">
        <v>116.97</v>
      </c>
      <c r="C1038">
        <v>272.79000000000002</v>
      </c>
      <c r="D1038">
        <v>79.069999999999993</v>
      </c>
      <c r="E1038">
        <v>103.11</v>
      </c>
      <c r="F1038">
        <v>498.79</v>
      </c>
    </row>
    <row r="1039" spans="1:6" x14ac:dyDescent="0.25">
      <c r="A1039" t="s">
        <v>1044</v>
      </c>
      <c r="B1039">
        <v>114.04</v>
      </c>
      <c r="C1039">
        <v>265.39999999999998</v>
      </c>
      <c r="D1039">
        <v>81.72</v>
      </c>
      <c r="E1039">
        <v>102.04</v>
      </c>
      <c r="F1039">
        <v>494</v>
      </c>
    </row>
    <row r="1040" spans="1:6" x14ac:dyDescent="0.25">
      <c r="A1040" t="s">
        <v>1045</v>
      </c>
      <c r="B1040">
        <v>113.78</v>
      </c>
      <c r="C1040">
        <v>268.48</v>
      </c>
      <c r="D1040">
        <v>82.08</v>
      </c>
      <c r="E1040">
        <v>103.66</v>
      </c>
      <c r="F1040">
        <v>493.92</v>
      </c>
    </row>
    <row r="1041" spans="1:6" x14ac:dyDescent="0.25">
      <c r="A1041" t="s">
        <v>1046</v>
      </c>
      <c r="B1041">
        <v>115.22</v>
      </c>
      <c r="C1041">
        <v>271.11</v>
      </c>
      <c r="D1041">
        <v>84.21</v>
      </c>
      <c r="E1041">
        <v>104.7</v>
      </c>
      <c r="F1041">
        <v>500.34</v>
      </c>
    </row>
    <row r="1042" spans="1:6" x14ac:dyDescent="0.25">
      <c r="A1042" t="s">
        <v>1047</v>
      </c>
      <c r="B1042">
        <v>113.14</v>
      </c>
      <c r="C1042">
        <v>266.93</v>
      </c>
      <c r="D1042">
        <v>80.48</v>
      </c>
      <c r="E1042">
        <v>104.2</v>
      </c>
      <c r="F1042">
        <v>499.56</v>
      </c>
    </row>
    <row r="1043" spans="1:6" x14ac:dyDescent="0.25">
      <c r="A1043" t="s">
        <v>1048</v>
      </c>
      <c r="B1043">
        <v>111.99</v>
      </c>
      <c r="C1043">
        <v>259.52999999999997</v>
      </c>
      <c r="D1043">
        <v>79.55</v>
      </c>
      <c r="E1043">
        <v>104.59</v>
      </c>
      <c r="F1043">
        <v>493.21</v>
      </c>
    </row>
    <row r="1044" spans="1:6" x14ac:dyDescent="0.25">
      <c r="A1044" t="s">
        <v>1049</v>
      </c>
      <c r="B1044">
        <v>104.03</v>
      </c>
      <c r="C1044">
        <v>243.26</v>
      </c>
      <c r="D1044">
        <v>77.87</v>
      </c>
      <c r="E1044">
        <v>102.94</v>
      </c>
      <c r="F1044">
        <v>490.43</v>
      </c>
    </row>
    <row r="1045" spans="1:6" x14ac:dyDescent="0.25">
      <c r="A1045" t="s">
        <v>1050</v>
      </c>
      <c r="B1045">
        <v>106.5</v>
      </c>
      <c r="C1045">
        <v>249.96</v>
      </c>
      <c r="D1045">
        <v>78.17</v>
      </c>
      <c r="E1045">
        <v>104.58</v>
      </c>
      <c r="F1045">
        <v>488.47</v>
      </c>
    </row>
    <row r="1046" spans="1:6" x14ac:dyDescent="0.25">
      <c r="A1046" t="s">
        <v>1051</v>
      </c>
      <c r="B1046">
        <v>106.88</v>
      </c>
      <c r="C1046">
        <v>251.43</v>
      </c>
      <c r="D1046">
        <v>75.650000000000006</v>
      </c>
      <c r="E1046">
        <v>104.16</v>
      </c>
      <c r="F1046">
        <v>481.04</v>
      </c>
    </row>
    <row r="1047" spans="1:6" x14ac:dyDescent="0.25">
      <c r="A1047" t="s">
        <v>1052</v>
      </c>
      <c r="B1047">
        <v>113.26</v>
      </c>
      <c r="C1047">
        <v>255.76</v>
      </c>
      <c r="D1047">
        <v>76.23</v>
      </c>
      <c r="E1047">
        <v>104.67</v>
      </c>
      <c r="F1047">
        <v>482</v>
      </c>
    </row>
    <row r="1048" spans="1:6" x14ac:dyDescent="0.25">
      <c r="A1048" t="s">
        <v>1053</v>
      </c>
      <c r="B1048">
        <v>112.83</v>
      </c>
      <c r="C1048">
        <v>253.28</v>
      </c>
      <c r="D1048">
        <v>77.53</v>
      </c>
      <c r="E1048">
        <v>103.96</v>
      </c>
      <c r="F1048">
        <v>479.25</v>
      </c>
    </row>
    <row r="1049" spans="1:6" x14ac:dyDescent="0.25">
      <c r="A1049" t="s">
        <v>1054</v>
      </c>
      <c r="B1049">
        <v>112.74</v>
      </c>
      <c r="C1049">
        <v>250.63</v>
      </c>
      <c r="D1049">
        <v>76.680000000000007</v>
      </c>
      <c r="E1049">
        <v>103.98</v>
      </c>
      <c r="F1049">
        <v>492.14</v>
      </c>
    </row>
    <row r="1050" spans="1:6" x14ac:dyDescent="0.25">
      <c r="A1050" t="s">
        <v>1055</v>
      </c>
      <c r="B1050">
        <v>108</v>
      </c>
      <c r="C1050">
        <v>245.53</v>
      </c>
      <c r="D1050">
        <v>74.8</v>
      </c>
      <c r="E1050">
        <v>101.46</v>
      </c>
      <c r="F1050">
        <v>479.15</v>
      </c>
    </row>
    <row r="1051" spans="1:6" x14ac:dyDescent="0.25">
      <c r="A1051" t="s">
        <v>1056</v>
      </c>
      <c r="B1051">
        <v>110.72</v>
      </c>
      <c r="C1051">
        <v>247.92</v>
      </c>
      <c r="D1051">
        <v>73.44</v>
      </c>
      <c r="E1051">
        <v>102.52</v>
      </c>
      <c r="F1051">
        <v>488.73</v>
      </c>
    </row>
    <row r="1052" spans="1:6" x14ac:dyDescent="0.25">
      <c r="A1052" t="s">
        <v>1057</v>
      </c>
      <c r="B1052">
        <v>109.33</v>
      </c>
      <c r="C1052">
        <v>245.37</v>
      </c>
      <c r="D1052">
        <v>72.23</v>
      </c>
      <c r="E1052">
        <v>98.02</v>
      </c>
      <c r="F1052">
        <v>463.53</v>
      </c>
    </row>
    <row r="1053" spans="1:6" x14ac:dyDescent="0.25">
      <c r="A1053" t="s">
        <v>1058</v>
      </c>
      <c r="B1053">
        <v>110.3</v>
      </c>
      <c r="C1053">
        <v>244.06</v>
      </c>
      <c r="D1053">
        <v>73.7</v>
      </c>
      <c r="E1053">
        <v>101.57</v>
      </c>
      <c r="F1053">
        <v>462.43</v>
      </c>
    </row>
    <row r="1054" spans="1:6" x14ac:dyDescent="0.25">
      <c r="A1054" t="s">
        <v>1059</v>
      </c>
      <c r="B1054">
        <v>112.95</v>
      </c>
      <c r="C1054">
        <v>244.97</v>
      </c>
      <c r="D1054">
        <v>73.41</v>
      </c>
      <c r="E1054">
        <v>102.53</v>
      </c>
      <c r="F1054">
        <v>474.59</v>
      </c>
    </row>
    <row r="1055" spans="1:6" x14ac:dyDescent="0.25">
      <c r="A1055" t="s">
        <v>1060</v>
      </c>
      <c r="B1055">
        <v>114.59</v>
      </c>
      <c r="C1055">
        <v>255.44</v>
      </c>
      <c r="D1055">
        <v>74.400000000000006</v>
      </c>
      <c r="E1055">
        <v>102.43</v>
      </c>
      <c r="F1055">
        <v>476.92</v>
      </c>
    </row>
    <row r="1056" spans="1:6" x14ac:dyDescent="0.25">
      <c r="A1056" t="s">
        <v>1061</v>
      </c>
      <c r="B1056">
        <v>118.23</v>
      </c>
      <c r="C1056">
        <v>258.48</v>
      </c>
      <c r="D1056">
        <v>74.78</v>
      </c>
      <c r="E1056">
        <v>103.8</v>
      </c>
      <c r="F1056">
        <v>478.47</v>
      </c>
    </row>
    <row r="1057" spans="1:6" x14ac:dyDescent="0.25">
      <c r="A1057" t="s">
        <v>1062</v>
      </c>
      <c r="B1057">
        <v>117.66</v>
      </c>
      <c r="C1057">
        <v>259.2</v>
      </c>
      <c r="D1057">
        <v>74.66</v>
      </c>
      <c r="E1057">
        <v>104.12</v>
      </c>
      <c r="F1057">
        <v>474.55</v>
      </c>
    </row>
    <row r="1058" spans="1:6" x14ac:dyDescent="0.25">
      <c r="A1058" t="s">
        <v>1063</v>
      </c>
      <c r="B1058">
        <v>113.49</v>
      </c>
      <c r="C1058">
        <v>257.08</v>
      </c>
      <c r="D1058">
        <v>72.349999999999994</v>
      </c>
      <c r="E1058">
        <v>101.55</v>
      </c>
      <c r="F1058">
        <v>475.39</v>
      </c>
    </row>
    <row r="1059" spans="1:6" x14ac:dyDescent="0.25">
      <c r="A1059" t="s">
        <v>1064</v>
      </c>
      <c r="B1059">
        <v>112.2</v>
      </c>
      <c r="C1059">
        <v>253.84</v>
      </c>
      <c r="D1059">
        <v>73.680000000000007</v>
      </c>
      <c r="E1059">
        <v>102.22</v>
      </c>
      <c r="F1059">
        <v>466.12</v>
      </c>
    </row>
    <row r="1060" spans="1:6" x14ac:dyDescent="0.25">
      <c r="A1060" t="s">
        <v>1065</v>
      </c>
      <c r="B1060">
        <v>107.71</v>
      </c>
      <c r="C1060">
        <v>250.68</v>
      </c>
      <c r="D1060">
        <v>76.06</v>
      </c>
      <c r="E1060">
        <v>102.61</v>
      </c>
      <c r="F1060">
        <v>477.34</v>
      </c>
    </row>
    <row r="1061" spans="1:6" x14ac:dyDescent="0.25">
      <c r="A1061" t="s">
        <v>1066</v>
      </c>
      <c r="B1061">
        <v>107.94</v>
      </c>
      <c r="C1061">
        <v>248.02</v>
      </c>
      <c r="D1061">
        <v>74.400000000000006</v>
      </c>
      <c r="E1061">
        <v>101.31</v>
      </c>
      <c r="F1061">
        <v>473.86</v>
      </c>
    </row>
    <row r="1062" spans="1:6" x14ac:dyDescent="0.25">
      <c r="A1062" t="s">
        <v>1067</v>
      </c>
      <c r="B1062">
        <v>110.65</v>
      </c>
      <c r="C1062">
        <v>251.34</v>
      </c>
      <c r="D1062">
        <v>76.55</v>
      </c>
      <c r="E1062">
        <v>103.73</v>
      </c>
      <c r="F1062">
        <v>475.78</v>
      </c>
    </row>
    <row r="1063" spans="1:6" x14ac:dyDescent="0.25">
      <c r="A1063" t="s">
        <v>1068</v>
      </c>
      <c r="B1063">
        <v>110.95</v>
      </c>
      <c r="C1063">
        <v>247.69</v>
      </c>
      <c r="D1063">
        <v>79.489999999999995</v>
      </c>
      <c r="E1063">
        <v>104.2</v>
      </c>
      <c r="F1063">
        <v>469.07</v>
      </c>
    </row>
    <row r="1064" spans="1:6" x14ac:dyDescent="0.25">
      <c r="A1064" t="s">
        <v>1069</v>
      </c>
      <c r="B1064">
        <v>114.74</v>
      </c>
      <c r="C1064">
        <v>255.81</v>
      </c>
      <c r="D1064">
        <v>77.34</v>
      </c>
      <c r="E1064">
        <v>104.7</v>
      </c>
      <c r="F1064">
        <v>466.51</v>
      </c>
    </row>
    <row r="1065" spans="1:6" x14ac:dyDescent="0.25">
      <c r="A1065" t="s">
        <v>1070</v>
      </c>
      <c r="B1065">
        <v>116.86</v>
      </c>
      <c r="C1065">
        <v>258.52</v>
      </c>
      <c r="D1065">
        <v>75.489999999999995</v>
      </c>
      <c r="E1065">
        <v>105.55</v>
      </c>
      <c r="F1065">
        <v>457.26</v>
      </c>
    </row>
    <row r="1066" spans="1:6" x14ac:dyDescent="0.25">
      <c r="A1066" t="s">
        <v>1071</v>
      </c>
      <c r="B1066">
        <v>111.18</v>
      </c>
      <c r="C1066">
        <v>249.98</v>
      </c>
      <c r="D1066">
        <v>74.03</v>
      </c>
      <c r="E1066">
        <v>102.49</v>
      </c>
      <c r="F1066">
        <v>461.11</v>
      </c>
    </row>
    <row r="1067" spans="1:6" x14ac:dyDescent="0.25">
      <c r="A1067" t="s">
        <v>1072</v>
      </c>
      <c r="B1067">
        <v>110.44</v>
      </c>
      <c r="C1067">
        <v>244.45</v>
      </c>
      <c r="D1067">
        <v>76.33</v>
      </c>
      <c r="E1067">
        <v>103.62</v>
      </c>
      <c r="F1067">
        <v>451.76</v>
      </c>
    </row>
    <row r="1068" spans="1:6" x14ac:dyDescent="0.25">
      <c r="A1068" t="s">
        <v>1073</v>
      </c>
      <c r="B1068">
        <v>110.49</v>
      </c>
      <c r="C1068">
        <v>245.04</v>
      </c>
      <c r="D1068">
        <v>79.47</v>
      </c>
      <c r="E1068">
        <v>104.21</v>
      </c>
      <c r="F1068">
        <v>443.13</v>
      </c>
    </row>
    <row r="1069" spans="1:6" x14ac:dyDescent="0.25">
      <c r="A1069" t="s">
        <v>1074</v>
      </c>
      <c r="B1069">
        <v>106.13</v>
      </c>
      <c r="C1069">
        <v>239.16</v>
      </c>
      <c r="D1069">
        <v>74.819999999999993</v>
      </c>
      <c r="E1069">
        <v>101.69</v>
      </c>
      <c r="F1069">
        <v>417.06</v>
      </c>
    </row>
    <row r="1070" spans="1:6" x14ac:dyDescent="0.25">
      <c r="A1070" t="s">
        <v>1075</v>
      </c>
      <c r="B1070">
        <v>105.03</v>
      </c>
      <c r="C1070">
        <v>236.57</v>
      </c>
      <c r="D1070">
        <v>79.39</v>
      </c>
      <c r="E1070">
        <v>102.05</v>
      </c>
      <c r="F1070">
        <v>420.77</v>
      </c>
    </row>
    <row r="1071" spans="1:6" x14ac:dyDescent="0.25">
      <c r="A1071" t="s">
        <v>1076</v>
      </c>
      <c r="B1071">
        <v>108.73</v>
      </c>
      <c r="C1071">
        <v>243.13</v>
      </c>
      <c r="D1071">
        <v>82.44</v>
      </c>
      <c r="E1071">
        <v>103.83</v>
      </c>
      <c r="F1071">
        <v>426.85</v>
      </c>
    </row>
    <row r="1072" spans="1:6" x14ac:dyDescent="0.25">
      <c r="A1072" t="s">
        <v>1077</v>
      </c>
      <c r="B1072">
        <v>105.71</v>
      </c>
      <c r="C1072">
        <v>236.11</v>
      </c>
      <c r="D1072">
        <v>83.49</v>
      </c>
      <c r="E1072">
        <v>102.62</v>
      </c>
      <c r="F1072">
        <v>424.48</v>
      </c>
    </row>
    <row r="1073" spans="1:6" x14ac:dyDescent="0.25">
      <c r="A1073" t="s">
        <v>1078</v>
      </c>
      <c r="B1073">
        <v>105.39</v>
      </c>
      <c r="C1073">
        <v>233.95</v>
      </c>
      <c r="D1073">
        <v>83.27</v>
      </c>
      <c r="E1073">
        <v>104.35</v>
      </c>
      <c r="F1073">
        <v>431.79</v>
      </c>
    </row>
    <row r="1074" spans="1:6" x14ac:dyDescent="0.25">
      <c r="A1074" t="s">
        <v>1079</v>
      </c>
      <c r="B1074">
        <v>110.11</v>
      </c>
      <c r="C1074">
        <v>244.32</v>
      </c>
      <c r="D1074">
        <v>87.27</v>
      </c>
      <c r="E1074">
        <v>107.55</v>
      </c>
      <c r="F1074">
        <v>445.51</v>
      </c>
    </row>
    <row r="1075" spans="1:6" x14ac:dyDescent="0.25">
      <c r="A1075" t="s">
        <v>1080</v>
      </c>
      <c r="B1075">
        <v>113.75</v>
      </c>
      <c r="C1075">
        <v>255.71</v>
      </c>
      <c r="D1075">
        <v>88.9</v>
      </c>
      <c r="E1075">
        <v>112.74</v>
      </c>
      <c r="F1075">
        <v>449.93</v>
      </c>
    </row>
    <row r="1076" spans="1:6" x14ac:dyDescent="0.25">
      <c r="A1076" t="s">
        <v>1081</v>
      </c>
      <c r="B1076">
        <v>116.09</v>
      </c>
      <c r="C1076">
        <v>261.14</v>
      </c>
      <c r="D1076">
        <v>90.86</v>
      </c>
      <c r="E1076">
        <v>115.16</v>
      </c>
      <c r="F1076">
        <v>453.7</v>
      </c>
    </row>
    <row r="1077" spans="1:6" x14ac:dyDescent="0.25">
      <c r="A1077" t="s">
        <v>1082</v>
      </c>
      <c r="B1077">
        <v>116.05</v>
      </c>
      <c r="C1077">
        <v>263.16000000000003</v>
      </c>
      <c r="D1077">
        <v>89.8</v>
      </c>
      <c r="E1077">
        <v>117.02</v>
      </c>
      <c r="F1077">
        <v>456.98</v>
      </c>
    </row>
    <row r="1078" spans="1:6" x14ac:dyDescent="0.25">
      <c r="A1078" t="s">
        <v>1083</v>
      </c>
      <c r="B1078">
        <v>115.72</v>
      </c>
      <c r="C1078">
        <v>259.54000000000002</v>
      </c>
      <c r="D1078">
        <v>85.87</v>
      </c>
      <c r="E1078">
        <v>116.71</v>
      </c>
      <c r="F1078">
        <v>450.62</v>
      </c>
    </row>
    <row r="1079" spans="1:6" x14ac:dyDescent="0.25">
      <c r="A1079" t="s">
        <v>1084</v>
      </c>
      <c r="B1079">
        <v>113.46</v>
      </c>
      <c r="C1079">
        <v>260.76</v>
      </c>
      <c r="D1079">
        <v>86.08</v>
      </c>
      <c r="E1079">
        <v>117.1</v>
      </c>
      <c r="F1079">
        <v>446.42</v>
      </c>
    </row>
    <row r="1080" spans="1:6" x14ac:dyDescent="0.25">
      <c r="A1080" t="s">
        <v>1085</v>
      </c>
      <c r="B1080">
        <v>116.51</v>
      </c>
      <c r="C1080">
        <v>265.17</v>
      </c>
      <c r="D1080">
        <v>84.85</v>
      </c>
      <c r="E1080">
        <v>118.76</v>
      </c>
      <c r="F1080">
        <v>452.53</v>
      </c>
    </row>
    <row r="1081" spans="1:6" x14ac:dyDescent="0.25">
      <c r="A1081" t="s">
        <v>1086</v>
      </c>
      <c r="B1081">
        <v>112.82</v>
      </c>
      <c r="C1081">
        <v>263.08</v>
      </c>
      <c r="D1081">
        <v>85</v>
      </c>
      <c r="E1081">
        <v>116.88</v>
      </c>
      <c r="F1081">
        <v>452.8</v>
      </c>
    </row>
    <row r="1082" spans="1:6" x14ac:dyDescent="0.25">
      <c r="A1082" t="s">
        <v>1087</v>
      </c>
      <c r="B1082">
        <v>112.69</v>
      </c>
      <c r="C1082">
        <v>262.55</v>
      </c>
      <c r="D1082">
        <v>83.4</v>
      </c>
      <c r="E1082">
        <v>118.96</v>
      </c>
      <c r="F1082">
        <v>456.68</v>
      </c>
    </row>
    <row r="1083" spans="1:6" x14ac:dyDescent="0.25">
      <c r="A1083" t="s">
        <v>1088</v>
      </c>
      <c r="B1083">
        <v>111.26</v>
      </c>
      <c r="C1083">
        <v>263.87</v>
      </c>
      <c r="D1083">
        <v>84.78</v>
      </c>
      <c r="E1083">
        <v>118.1</v>
      </c>
      <c r="F1083">
        <v>466.18</v>
      </c>
    </row>
    <row r="1084" spans="1:6" x14ac:dyDescent="0.25">
      <c r="A1084" t="s">
        <v>1089</v>
      </c>
      <c r="B1084">
        <v>106.78</v>
      </c>
      <c r="C1084">
        <v>256.77999999999997</v>
      </c>
      <c r="D1084">
        <v>83.96</v>
      </c>
      <c r="E1084">
        <v>116.45</v>
      </c>
      <c r="F1084">
        <v>461.69</v>
      </c>
    </row>
    <row r="1085" spans="1:6" x14ac:dyDescent="0.25">
      <c r="A1085" t="s">
        <v>1090</v>
      </c>
      <c r="B1085">
        <v>104.81</v>
      </c>
      <c r="C1085">
        <v>253.52</v>
      </c>
      <c r="D1085">
        <v>83.66</v>
      </c>
      <c r="E1085">
        <v>114.47</v>
      </c>
      <c r="F1085">
        <v>457.89</v>
      </c>
    </row>
    <row r="1086" spans="1:6" x14ac:dyDescent="0.25">
      <c r="A1086" t="s">
        <v>1091</v>
      </c>
      <c r="B1086">
        <v>104.97</v>
      </c>
      <c r="C1086">
        <v>250.72</v>
      </c>
      <c r="D1086">
        <v>82.01</v>
      </c>
      <c r="E1086">
        <v>113.68</v>
      </c>
      <c r="F1086">
        <v>457.4</v>
      </c>
    </row>
    <row r="1087" spans="1:6" x14ac:dyDescent="0.25">
      <c r="A1087" t="s">
        <v>1092</v>
      </c>
      <c r="B1087">
        <v>110.44</v>
      </c>
      <c r="C1087">
        <v>251.71</v>
      </c>
      <c r="D1087">
        <v>81.569999999999993</v>
      </c>
      <c r="E1087">
        <v>112.1</v>
      </c>
      <c r="F1087">
        <v>452.36</v>
      </c>
    </row>
    <row r="1088" spans="1:6" x14ac:dyDescent="0.25">
      <c r="A1088" t="s">
        <v>1093</v>
      </c>
      <c r="B1088">
        <v>107.88</v>
      </c>
      <c r="C1088">
        <v>243.9</v>
      </c>
      <c r="D1088">
        <v>79.8</v>
      </c>
      <c r="E1088">
        <v>105.57</v>
      </c>
      <c r="F1088">
        <v>446.53</v>
      </c>
    </row>
    <row r="1089" spans="1:6" x14ac:dyDescent="0.25">
      <c r="A1089" t="s">
        <v>1094</v>
      </c>
      <c r="B1089">
        <v>109.34</v>
      </c>
      <c r="C1089">
        <v>244.46</v>
      </c>
      <c r="D1089">
        <v>79.180000000000007</v>
      </c>
      <c r="E1089">
        <v>106.44</v>
      </c>
      <c r="F1089">
        <v>439.93</v>
      </c>
    </row>
    <row r="1090" spans="1:6" x14ac:dyDescent="0.25">
      <c r="A1090" t="s">
        <v>1095</v>
      </c>
      <c r="B1090">
        <v>110.84</v>
      </c>
      <c r="C1090">
        <v>245.37</v>
      </c>
      <c r="D1090">
        <v>78.75</v>
      </c>
      <c r="E1090">
        <v>108.04</v>
      </c>
      <c r="F1090">
        <v>433.33</v>
      </c>
    </row>
    <row r="1091" spans="1:6" x14ac:dyDescent="0.25">
      <c r="A1091" t="s">
        <v>1096</v>
      </c>
      <c r="B1091">
        <v>115.38</v>
      </c>
      <c r="C1091">
        <v>257.07</v>
      </c>
      <c r="D1091">
        <v>80.02</v>
      </c>
      <c r="E1091">
        <v>109.92</v>
      </c>
      <c r="F1091">
        <v>452.78</v>
      </c>
    </row>
    <row r="1092" spans="1:6" x14ac:dyDescent="0.25">
      <c r="A1092" t="s">
        <v>1097</v>
      </c>
      <c r="B1092">
        <v>113.37</v>
      </c>
      <c r="C1092">
        <v>251.95</v>
      </c>
      <c r="D1092">
        <v>79.010000000000005</v>
      </c>
      <c r="E1092">
        <v>106.39</v>
      </c>
      <c r="F1092">
        <v>449.73</v>
      </c>
    </row>
    <row r="1093" spans="1:6" x14ac:dyDescent="0.25">
      <c r="A1093" t="s">
        <v>1098</v>
      </c>
      <c r="B1093">
        <v>114.96</v>
      </c>
      <c r="C1093">
        <v>251.58</v>
      </c>
      <c r="D1093">
        <v>77.2</v>
      </c>
      <c r="E1093">
        <v>107.14</v>
      </c>
      <c r="F1093">
        <v>446.22</v>
      </c>
    </row>
    <row r="1094" spans="1:6" x14ac:dyDescent="0.25">
      <c r="A1094" t="s">
        <v>1099</v>
      </c>
      <c r="B1094">
        <v>111.78</v>
      </c>
      <c r="C1094">
        <v>246.02</v>
      </c>
      <c r="D1094">
        <v>74.97</v>
      </c>
      <c r="E1094">
        <v>106.2</v>
      </c>
      <c r="F1094">
        <v>440.16</v>
      </c>
    </row>
    <row r="1095" spans="1:6" x14ac:dyDescent="0.25">
      <c r="A1095" t="s">
        <v>1100</v>
      </c>
      <c r="B1095">
        <v>112.53</v>
      </c>
      <c r="C1095">
        <v>251.03</v>
      </c>
      <c r="D1095">
        <v>74.63</v>
      </c>
      <c r="E1095">
        <v>106.29</v>
      </c>
      <c r="F1095">
        <v>446.91</v>
      </c>
    </row>
    <row r="1096" spans="1:6" x14ac:dyDescent="0.25">
      <c r="A1096" t="s">
        <v>1101</v>
      </c>
      <c r="B1096">
        <v>113.32</v>
      </c>
      <c r="C1096">
        <v>259.66000000000003</v>
      </c>
      <c r="D1096">
        <v>73.11</v>
      </c>
      <c r="E1096">
        <v>106.96</v>
      </c>
      <c r="F1096">
        <v>448.62</v>
      </c>
    </row>
    <row r="1097" spans="1:6" x14ac:dyDescent="0.25">
      <c r="A1097" t="s">
        <v>1102</v>
      </c>
      <c r="B1097">
        <v>111.45</v>
      </c>
      <c r="C1097">
        <v>254.92</v>
      </c>
      <c r="D1097">
        <v>72.63</v>
      </c>
      <c r="E1097">
        <v>109.63</v>
      </c>
      <c r="F1097">
        <v>447.16</v>
      </c>
    </row>
    <row r="1098" spans="1:6" x14ac:dyDescent="0.25">
      <c r="A1098" t="s">
        <v>1103</v>
      </c>
      <c r="B1098">
        <v>114.66</v>
      </c>
      <c r="C1098">
        <v>264.69</v>
      </c>
      <c r="D1098">
        <v>78.849999999999994</v>
      </c>
      <c r="E1098">
        <v>111.31</v>
      </c>
      <c r="F1098">
        <v>459.29</v>
      </c>
    </row>
    <row r="1099" spans="1:6" x14ac:dyDescent="0.25">
      <c r="A1099" t="s">
        <v>1104</v>
      </c>
      <c r="B1099">
        <v>115.41</v>
      </c>
      <c r="C1099">
        <v>267.22000000000003</v>
      </c>
      <c r="D1099">
        <v>77.66</v>
      </c>
      <c r="E1099">
        <v>111.49</v>
      </c>
      <c r="F1099">
        <v>454.79</v>
      </c>
    </row>
    <row r="1100" spans="1:6" x14ac:dyDescent="0.25">
      <c r="A1100" t="s">
        <v>1105</v>
      </c>
      <c r="B1100">
        <v>121.11</v>
      </c>
      <c r="C1100">
        <v>279.39</v>
      </c>
      <c r="D1100">
        <v>78.86</v>
      </c>
      <c r="E1100">
        <v>114.35</v>
      </c>
      <c r="F1100">
        <v>466.65</v>
      </c>
    </row>
    <row r="1101" spans="1:6" x14ac:dyDescent="0.25">
      <c r="A1101" t="s">
        <v>1106</v>
      </c>
      <c r="B1101">
        <v>116.23</v>
      </c>
      <c r="C1101">
        <v>271.49</v>
      </c>
      <c r="D1101">
        <v>75.84</v>
      </c>
      <c r="E1101">
        <v>110.69</v>
      </c>
      <c r="F1101">
        <v>459.29</v>
      </c>
    </row>
    <row r="1102" spans="1:6" x14ac:dyDescent="0.25">
      <c r="A1102" t="s">
        <v>1107</v>
      </c>
      <c r="B1102">
        <v>115.48</v>
      </c>
      <c r="C1102">
        <v>274.08</v>
      </c>
      <c r="D1102">
        <v>74.31</v>
      </c>
      <c r="E1102">
        <v>108.36</v>
      </c>
      <c r="F1102">
        <v>460.7</v>
      </c>
    </row>
    <row r="1103" spans="1:6" x14ac:dyDescent="0.25">
      <c r="A1103" t="s">
        <v>1108</v>
      </c>
      <c r="B1103">
        <v>113.03</v>
      </c>
      <c r="C1103">
        <v>267.38</v>
      </c>
      <c r="D1103">
        <v>73.31</v>
      </c>
      <c r="E1103">
        <v>107.38</v>
      </c>
      <c r="F1103">
        <v>467.5</v>
      </c>
    </row>
    <row r="1104" spans="1:6" x14ac:dyDescent="0.25">
      <c r="A1104" t="s">
        <v>1109</v>
      </c>
      <c r="B1104">
        <v>117.41</v>
      </c>
      <c r="C1104">
        <v>279.05</v>
      </c>
      <c r="D1104">
        <v>74.989999999999995</v>
      </c>
      <c r="E1104">
        <v>110.96</v>
      </c>
      <c r="F1104">
        <v>482.09</v>
      </c>
    </row>
    <row r="1105" spans="1:6" x14ac:dyDescent="0.25">
      <c r="A1105" t="s">
        <v>1110</v>
      </c>
      <c r="B1105">
        <v>113.22</v>
      </c>
      <c r="C1105">
        <v>272.87</v>
      </c>
      <c r="D1105">
        <v>72.78</v>
      </c>
      <c r="E1105">
        <v>109.24</v>
      </c>
      <c r="F1105">
        <v>472.34</v>
      </c>
    </row>
    <row r="1106" spans="1:6" x14ac:dyDescent="0.25">
      <c r="A1106" t="s">
        <v>1111</v>
      </c>
      <c r="B1106">
        <v>117.53</v>
      </c>
      <c r="C1106">
        <v>260.35000000000002</v>
      </c>
      <c r="D1106">
        <v>70.760000000000005</v>
      </c>
      <c r="E1106">
        <v>110.68</v>
      </c>
      <c r="F1106">
        <v>472.31</v>
      </c>
    </row>
    <row r="1107" spans="1:6" x14ac:dyDescent="0.25">
      <c r="A1107" t="s">
        <v>1112</v>
      </c>
      <c r="B1107">
        <v>121.91</v>
      </c>
      <c r="C1107">
        <v>270.47000000000003</v>
      </c>
      <c r="D1107">
        <v>70.739999999999995</v>
      </c>
      <c r="E1107">
        <v>114.05</v>
      </c>
      <c r="F1107">
        <v>481.96</v>
      </c>
    </row>
    <row r="1108" spans="1:6" x14ac:dyDescent="0.25">
      <c r="A1108" t="s">
        <v>1113</v>
      </c>
      <c r="B1108">
        <v>118.51</v>
      </c>
      <c r="C1108">
        <v>264.02</v>
      </c>
      <c r="D1108">
        <v>73.209999999999994</v>
      </c>
      <c r="E1108">
        <v>114.09</v>
      </c>
      <c r="F1108">
        <v>478.89</v>
      </c>
    </row>
    <row r="1109" spans="1:6" x14ac:dyDescent="0.25">
      <c r="A1109" t="s">
        <v>1114</v>
      </c>
      <c r="B1109">
        <v>123.64</v>
      </c>
      <c r="C1109">
        <v>270.55</v>
      </c>
      <c r="D1109">
        <v>74.84</v>
      </c>
      <c r="E1109">
        <v>117.46</v>
      </c>
      <c r="F1109">
        <v>494.06</v>
      </c>
    </row>
    <row r="1110" spans="1:6" x14ac:dyDescent="0.25">
      <c r="A1110" t="s">
        <v>1115</v>
      </c>
      <c r="B1110">
        <v>126.83</v>
      </c>
      <c r="C1110">
        <v>275.89999999999998</v>
      </c>
      <c r="D1110">
        <v>75.64</v>
      </c>
      <c r="E1110">
        <v>118.38</v>
      </c>
      <c r="F1110">
        <v>501.94</v>
      </c>
    </row>
    <row r="1111" spans="1:6" x14ac:dyDescent="0.25">
      <c r="A1111" t="s">
        <v>1116</v>
      </c>
      <c r="B1111">
        <v>128.78</v>
      </c>
      <c r="C1111">
        <v>274.88</v>
      </c>
      <c r="D1111">
        <v>75.47</v>
      </c>
      <c r="E1111">
        <v>117.96</v>
      </c>
      <c r="F1111">
        <v>494.3</v>
      </c>
    </row>
    <row r="1112" spans="1:6" x14ac:dyDescent="0.25">
      <c r="A1112" t="s">
        <v>1117</v>
      </c>
      <c r="B1112">
        <v>126.47</v>
      </c>
      <c r="C1112">
        <v>270.27</v>
      </c>
      <c r="D1112">
        <v>76.150000000000006</v>
      </c>
      <c r="E1112">
        <v>115.57</v>
      </c>
      <c r="F1112">
        <v>490.97</v>
      </c>
    </row>
    <row r="1113" spans="1:6" x14ac:dyDescent="0.25">
      <c r="A1113" t="s">
        <v>1118</v>
      </c>
      <c r="B1113">
        <v>125.54</v>
      </c>
      <c r="C1113">
        <v>269.61</v>
      </c>
      <c r="D1113">
        <v>75.53</v>
      </c>
      <c r="E1113">
        <v>113.47</v>
      </c>
      <c r="F1113">
        <v>491.65</v>
      </c>
    </row>
    <row r="1114" spans="1:6" x14ac:dyDescent="0.25">
      <c r="A1114" t="s">
        <v>1119</v>
      </c>
      <c r="B1114">
        <v>128.66999999999999</v>
      </c>
      <c r="C1114">
        <v>277.11</v>
      </c>
      <c r="D1114">
        <v>74.650000000000006</v>
      </c>
      <c r="E1114">
        <v>114.53</v>
      </c>
      <c r="F1114">
        <v>493.66</v>
      </c>
    </row>
    <row r="1115" spans="1:6" x14ac:dyDescent="0.25">
      <c r="A1115" t="s">
        <v>1120</v>
      </c>
      <c r="B1115">
        <v>126.51</v>
      </c>
      <c r="C1115">
        <v>271.76</v>
      </c>
      <c r="D1115">
        <v>73.61</v>
      </c>
      <c r="E1115">
        <v>118.34</v>
      </c>
      <c r="F1115">
        <v>490.63</v>
      </c>
    </row>
    <row r="1116" spans="1:6" x14ac:dyDescent="0.25">
      <c r="A1116" t="s">
        <v>1121</v>
      </c>
      <c r="B1116">
        <v>127.61</v>
      </c>
      <c r="C1116">
        <v>274.83999999999997</v>
      </c>
      <c r="D1116">
        <v>72.11</v>
      </c>
      <c r="E1116">
        <v>119.66</v>
      </c>
      <c r="F1116">
        <v>494.06</v>
      </c>
    </row>
    <row r="1117" spans="1:6" x14ac:dyDescent="0.25">
      <c r="A1117" t="s">
        <v>1122</v>
      </c>
      <c r="B1117">
        <v>132.03</v>
      </c>
      <c r="C1117">
        <v>286.12</v>
      </c>
      <c r="D1117">
        <v>74.680000000000007</v>
      </c>
      <c r="E1117">
        <v>120.1</v>
      </c>
      <c r="F1117">
        <v>501.89</v>
      </c>
    </row>
    <row r="1118" spans="1:6" x14ac:dyDescent="0.25">
      <c r="A1118" t="s">
        <v>1123</v>
      </c>
      <c r="B1118">
        <v>134.61000000000001</v>
      </c>
      <c r="C1118">
        <v>290.36</v>
      </c>
      <c r="D1118">
        <v>73.14</v>
      </c>
      <c r="E1118">
        <v>117.94</v>
      </c>
      <c r="F1118">
        <v>493.61</v>
      </c>
    </row>
    <row r="1119" spans="1:6" x14ac:dyDescent="0.25">
      <c r="A1119" t="s">
        <v>1124</v>
      </c>
      <c r="B1119">
        <v>135.26</v>
      </c>
      <c r="C1119">
        <v>288.56</v>
      </c>
      <c r="D1119">
        <v>71.930000000000007</v>
      </c>
      <c r="E1119">
        <v>118.3</v>
      </c>
      <c r="F1119">
        <v>488.83</v>
      </c>
    </row>
    <row r="1120" spans="1:6" x14ac:dyDescent="0.25">
      <c r="A1120" t="s">
        <v>1125</v>
      </c>
      <c r="B1120">
        <v>139.27000000000001</v>
      </c>
      <c r="C1120">
        <v>299.52</v>
      </c>
      <c r="D1120">
        <v>71.14</v>
      </c>
      <c r="E1120">
        <v>119.96</v>
      </c>
      <c r="F1120">
        <v>475.97</v>
      </c>
    </row>
    <row r="1121" spans="1:6" x14ac:dyDescent="0.25">
      <c r="A1121" t="s">
        <v>1126</v>
      </c>
      <c r="B1121">
        <v>141.62</v>
      </c>
      <c r="C1121">
        <v>303.45999999999998</v>
      </c>
      <c r="D1121">
        <v>71.510000000000005</v>
      </c>
      <c r="E1121">
        <v>121.37</v>
      </c>
      <c r="F1121">
        <v>468.86</v>
      </c>
    </row>
    <row r="1122" spans="1:6" x14ac:dyDescent="0.25">
      <c r="A1122" t="s">
        <v>1127</v>
      </c>
      <c r="B1122">
        <v>138.83000000000001</v>
      </c>
      <c r="C1122">
        <v>298.12</v>
      </c>
      <c r="D1122">
        <v>71.48</v>
      </c>
      <c r="E1122">
        <v>120.84</v>
      </c>
      <c r="F1122">
        <v>471.22</v>
      </c>
    </row>
    <row r="1123" spans="1:6" x14ac:dyDescent="0.25">
      <c r="A1123" t="s">
        <v>1128</v>
      </c>
      <c r="B1123">
        <v>137.76</v>
      </c>
      <c r="C1123">
        <v>297.05</v>
      </c>
      <c r="D1123">
        <v>71.02</v>
      </c>
      <c r="E1123">
        <v>121.74</v>
      </c>
      <c r="F1123">
        <v>468.81</v>
      </c>
    </row>
    <row r="1124" spans="1:6" x14ac:dyDescent="0.25">
      <c r="A1124" t="s">
        <v>1129</v>
      </c>
      <c r="B1124">
        <v>140.6</v>
      </c>
      <c r="C1124">
        <v>302.39999999999998</v>
      </c>
      <c r="D1124">
        <v>72.05</v>
      </c>
      <c r="E1124">
        <v>125.51</v>
      </c>
      <c r="F1124">
        <v>478.78</v>
      </c>
    </row>
    <row r="1125" spans="1:6" x14ac:dyDescent="0.25">
      <c r="A1125" t="s">
        <v>1130</v>
      </c>
      <c r="B1125">
        <v>141.16</v>
      </c>
      <c r="C1125">
        <v>303.89</v>
      </c>
      <c r="D1125">
        <v>70.83</v>
      </c>
      <c r="E1125">
        <v>126.08</v>
      </c>
      <c r="F1125">
        <v>469.51</v>
      </c>
    </row>
    <row r="1126" spans="1:6" x14ac:dyDescent="0.25">
      <c r="A1126" t="s">
        <v>1131</v>
      </c>
      <c r="B1126">
        <v>140.12</v>
      </c>
      <c r="C1126">
        <v>299.35000000000002</v>
      </c>
      <c r="D1126">
        <v>71.209999999999994</v>
      </c>
      <c r="E1126">
        <v>125.8</v>
      </c>
      <c r="F1126">
        <v>471.78</v>
      </c>
    </row>
    <row r="1127" spans="1:6" x14ac:dyDescent="0.25">
      <c r="A1127" t="s">
        <v>1132</v>
      </c>
      <c r="B1127">
        <v>140.34</v>
      </c>
      <c r="C1127">
        <v>292.58999999999997</v>
      </c>
      <c r="D1127">
        <v>73.27</v>
      </c>
      <c r="E1127">
        <v>126.74</v>
      </c>
      <c r="F1127">
        <v>471.62</v>
      </c>
    </row>
    <row r="1128" spans="1:6" x14ac:dyDescent="0.25">
      <c r="A1128" t="s">
        <v>1133</v>
      </c>
      <c r="B1128">
        <v>140.24</v>
      </c>
      <c r="C1128">
        <v>292.99</v>
      </c>
      <c r="D1128">
        <v>71.7</v>
      </c>
      <c r="E1128">
        <v>125.64</v>
      </c>
      <c r="F1128">
        <v>472.02</v>
      </c>
    </row>
    <row r="1129" spans="1:6" x14ac:dyDescent="0.25">
      <c r="A1129" t="s">
        <v>1134</v>
      </c>
      <c r="B1129">
        <v>136.97</v>
      </c>
      <c r="C1129">
        <v>288.55</v>
      </c>
      <c r="D1129">
        <v>71.489999999999995</v>
      </c>
      <c r="E1129">
        <v>124.83</v>
      </c>
      <c r="F1129">
        <v>462.61</v>
      </c>
    </row>
    <row r="1130" spans="1:6" x14ac:dyDescent="0.25">
      <c r="A1130" t="s">
        <v>1135</v>
      </c>
      <c r="B1130">
        <v>138.55000000000001</v>
      </c>
      <c r="C1130">
        <v>292.95</v>
      </c>
      <c r="D1130">
        <v>70.38</v>
      </c>
      <c r="E1130">
        <v>127.37</v>
      </c>
      <c r="F1130">
        <v>464.53</v>
      </c>
    </row>
    <row r="1131" spans="1:6" x14ac:dyDescent="0.25">
      <c r="A1131" t="s">
        <v>1136</v>
      </c>
      <c r="B1131">
        <v>134.82</v>
      </c>
      <c r="C1131">
        <v>288.23</v>
      </c>
      <c r="D1131">
        <v>70.69</v>
      </c>
      <c r="E1131">
        <v>124.71</v>
      </c>
      <c r="F1131">
        <v>466.69</v>
      </c>
    </row>
    <row r="1132" spans="1:6" x14ac:dyDescent="0.25">
      <c r="A1132" t="s">
        <v>1137</v>
      </c>
      <c r="B1132">
        <v>134.84</v>
      </c>
      <c r="C1132">
        <v>289.45999999999998</v>
      </c>
      <c r="D1132">
        <v>67.650000000000006</v>
      </c>
      <c r="E1132">
        <v>125.12</v>
      </c>
      <c r="F1132">
        <v>465.27</v>
      </c>
    </row>
    <row r="1133" spans="1:6" x14ac:dyDescent="0.25">
      <c r="A1133" t="s">
        <v>1138</v>
      </c>
      <c r="B1133">
        <v>132.58000000000001</v>
      </c>
      <c r="C1133">
        <v>284.44</v>
      </c>
      <c r="D1133">
        <v>67.92</v>
      </c>
      <c r="E1133">
        <v>125.16</v>
      </c>
      <c r="F1133">
        <v>466.1</v>
      </c>
    </row>
    <row r="1134" spans="1:6" x14ac:dyDescent="0.25">
      <c r="A1134" t="s">
        <v>1139</v>
      </c>
      <c r="B1134">
        <v>132.02000000000001</v>
      </c>
      <c r="C1134">
        <v>283.64</v>
      </c>
      <c r="D1134">
        <v>66.150000000000006</v>
      </c>
      <c r="E1134">
        <v>123.6</v>
      </c>
      <c r="F1134">
        <v>458.04</v>
      </c>
    </row>
    <row r="1135" spans="1:6" x14ac:dyDescent="0.25">
      <c r="A1135" t="s">
        <v>1140</v>
      </c>
      <c r="B1135">
        <v>127.98</v>
      </c>
      <c r="C1135">
        <v>276.66000000000003</v>
      </c>
      <c r="D1135">
        <v>66.400000000000006</v>
      </c>
      <c r="E1135">
        <v>118.31</v>
      </c>
      <c r="F1135">
        <v>457.72</v>
      </c>
    </row>
    <row r="1136" spans="1:6" x14ac:dyDescent="0.25">
      <c r="A1136" t="s">
        <v>1141</v>
      </c>
      <c r="B1136">
        <v>124.76</v>
      </c>
      <c r="C1136">
        <v>266.33999999999997</v>
      </c>
      <c r="D1136">
        <v>70.41</v>
      </c>
      <c r="E1136">
        <v>116.25</v>
      </c>
      <c r="F1136">
        <v>448.54</v>
      </c>
    </row>
    <row r="1137" spans="1:6" x14ac:dyDescent="0.25">
      <c r="A1137" t="s">
        <v>1142</v>
      </c>
      <c r="B1137">
        <v>128.65</v>
      </c>
      <c r="C1137">
        <v>269.83999999999997</v>
      </c>
      <c r="D1137">
        <v>73.03</v>
      </c>
      <c r="E1137">
        <v>115.1</v>
      </c>
      <c r="F1137">
        <v>443.9</v>
      </c>
    </row>
    <row r="1138" spans="1:6" x14ac:dyDescent="0.25">
      <c r="A1138" t="s">
        <v>1143</v>
      </c>
      <c r="B1138">
        <v>131.18</v>
      </c>
      <c r="C1138">
        <v>275.16000000000003</v>
      </c>
      <c r="D1138">
        <v>73.400000000000006</v>
      </c>
      <c r="E1138">
        <v>117.76</v>
      </c>
      <c r="F1138">
        <v>450.44</v>
      </c>
    </row>
    <row r="1139" spans="1:6" x14ac:dyDescent="0.25">
      <c r="A1139" t="s">
        <v>1144</v>
      </c>
      <c r="B1139">
        <v>132.16</v>
      </c>
      <c r="C1139">
        <v>277.95999999999998</v>
      </c>
      <c r="D1139">
        <v>71.19</v>
      </c>
      <c r="E1139">
        <v>119.17</v>
      </c>
      <c r="F1139">
        <v>445.06</v>
      </c>
    </row>
    <row r="1140" spans="1:6" x14ac:dyDescent="0.25">
      <c r="A1140" t="s">
        <v>1145</v>
      </c>
      <c r="B1140">
        <v>125.91</v>
      </c>
      <c r="C1140">
        <v>265.77</v>
      </c>
      <c r="D1140">
        <v>75.489999999999995</v>
      </c>
      <c r="E1140">
        <v>114.58</v>
      </c>
      <c r="F1140">
        <v>433.96</v>
      </c>
    </row>
    <row r="1141" spans="1:6" x14ac:dyDescent="0.25">
      <c r="A1141" t="s">
        <v>1146</v>
      </c>
      <c r="B1141">
        <v>125.19</v>
      </c>
      <c r="C1141">
        <v>268.72000000000003</v>
      </c>
      <c r="D1141">
        <v>74.92</v>
      </c>
      <c r="E1141">
        <v>115.39</v>
      </c>
      <c r="F1141">
        <v>446.25</v>
      </c>
    </row>
    <row r="1142" spans="1:6" x14ac:dyDescent="0.25">
      <c r="A1142" t="s">
        <v>1147</v>
      </c>
      <c r="B1142">
        <v>130.66</v>
      </c>
      <c r="C1142">
        <v>279.27</v>
      </c>
      <c r="D1142">
        <v>72.31</v>
      </c>
      <c r="E1142">
        <v>120.03</v>
      </c>
      <c r="F1142">
        <v>457.05</v>
      </c>
    </row>
    <row r="1143" spans="1:6" x14ac:dyDescent="0.25">
      <c r="A1143" t="s">
        <v>1148</v>
      </c>
      <c r="B1143">
        <v>132.63999999999999</v>
      </c>
      <c r="C1143">
        <v>285.11</v>
      </c>
      <c r="D1143">
        <v>69.69</v>
      </c>
      <c r="E1143">
        <v>123.5</v>
      </c>
      <c r="F1143">
        <v>446</v>
      </c>
    </row>
    <row r="1144" spans="1:6" x14ac:dyDescent="0.25">
      <c r="A1144" t="s">
        <v>1149</v>
      </c>
      <c r="B1144">
        <v>133.30000000000001</v>
      </c>
      <c r="C1144">
        <v>289.22000000000003</v>
      </c>
      <c r="D1144">
        <v>69.25</v>
      </c>
      <c r="E1144">
        <v>124.38</v>
      </c>
      <c r="F1144">
        <v>444.89</v>
      </c>
    </row>
    <row r="1145" spans="1:6" x14ac:dyDescent="0.25">
      <c r="A1145" t="s">
        <v>1150</v>
      </c>
      <c r="B1145">
        <v>132.80000000000001</v>
      </c>
      <c r="C1145">
        <v>284.18</v>
      </c>
      <c r="D1145">
        <v>68.08</v>
      </c>
      <c r="E1145">
        <v>121.86</v>
      </c>
      <c r="F1145">
        <v>436.52</v>
      </c>
    </row>
    <row r="1146" spans="1:6" x14ac:dyDescent="0.25">
      <c r="A1146" t="s">
        <v>1151</v>
      </c>
      <c r="B1146">
        <v>133.78</v>
      </c>
      <c r="C1146">
        <v>287.88</v>
      </c>
      <c r="D1146">
        <v>67.44</v>
      </c>
      <c r="E1146">
        <v>126.63</v>
      </c>
      <c r="F1146">
        <v>436.17</v>
      </c>
    </row>
    <row r="1147" spans="1:6" x14ac:dyDescent="0.25">
      <c r="A1147" t="s">
        <v>1152</v>
      </c>
      <c r="B1147">
        <v>133.19</v>
      </c>
      <c r="C1147">
        <v>286.45</v>
      </c>
      <c r="D1147">
        <v>66.94</v>
      </c>
      <c r="E1147">
        <v>132.13999999999999</v>
      </c>
      <c r="F1147">
        <v>436.06</v>
      </c>
    </row>
    <row r="1148" spans="1:6" x14ac:dyDescent="0.25">
      <c r="A1148" t="s">
        <v>1153</v>
      </c>
      <c r="B1148">
        <v>131.44</v>
      </c>
      <c r="C1148">
        <v>283.83</v>
      </c>
      <c r="D1148">
        <v>65.180000000000007</v>
      </c>
      <c r="E1148">
        <v>129.09</v>
      </c>
      <c r="F1148">
        <v>417.86</v>
      </c>
    </row>
    <row r="1149" spans="1:6" x14ac:dyDescent="0.25">
      <c r="A1149" t="s">
        <v>1154</v>
      </c>
      <c r="B1149">
        <v>126.39</v>
      </c>
      <c r="C1149">
        <v>270.02999999999997</v>
      </c>
      <c r="D1149">
        <v>66.02</v>
      </c>
      <c r="E1149">
        <v>132.79</v>
      </c>
      <c r="F1149">
        <v>421.28</v>
      </c>
    </row>
    <row r="1150" spans="1:6" x14ac:dyDescent="0.25">
      <c r="A1150" t="s">
        <v>1155</v>
      </c>
      <c r="B1150">
        <v>128.59</v>
      </c>
      <c r="C1150">
        <v>277.20999999999998</v>
      </c>
      <c r="D1150">
        <v>65.75</v>
      </c>
      <c r="E1150">
        <v>135.63</v>
      </c>
      <c r="F1150">
        <v>423.93</v>
      </c>
    </row>
    <row r="1151" spans="1:6" x14ac:dyDescent="0.25">
      <c r="A1151" t="s">
        <v>1156</v>
      </c>
      <c r="B1151">
        <v>129.16999999999999</v>
      </c>
      <c r="C1151">
        <v>277.41000000000003</v>
      </c>
      <c r="D1151">
        <v>66.52</v>
      </c>
      <c r="E1151">
        <v>135.87</v>
      </c>
      <c r="F1151">
        <v>428.78</v>
      </c>
    </row>
    <row r="1152" spans="1:6" x14ac:dyDescent="0.25">
      <c r="A1152" t="s">
        <v>1157</v>
      </c>
      <c r="B1152">
        <v>131.29</v>
      </c>
      <c r="C1152">
        <v>280.11</v>
      </c>
      <c r="D1152">
        <v>67.27</v>
      </c>
      <c r="E1152">
        <v>135.22999999999999</v>
      </c>
      <c r="F1152">
        <v>431.1</v>
      </c>
    </row>
    <row r="1153" spans="1:6" x14ac:dyDescent="0.25">
      <c r="A1153" t="s">
        <v>1158</v>
      </c>
      <c r="B1153">
        <v>136.44</v>
      </c>
      <c r="C1153">
        <v>288.56</v>
      </c>
      <c r="D1153">
        <v>67.38</v>
      </c>
      <c r="E1153">
        <v>138.41999999999999</v>
      </c>
      <c r="F1153">
        <v>440</v>
      </c>
    </row>
    <row r="1154" spans="1:6" x14ac:dyDescent="0.25">
      <c r="A1154" t="s">
        <v>1159</v>
      </c>
      <c r="B1154">
        <v>135.32</v>
      </c>
      <c r="C1154">
        <v>288.89999999999998</v>
      </c>
      <c r="D1154">
        <v>67.069999999999993</v>
      </c>
      <c r="E1154">
        <v>138.16999999999999</v>
      </c>
      <c r="F1154">
        <v>438.33</v>
      </c>
    </row>
    <row r="1155" spans="1:6" x14ac:dyDescent="0.25">
      <c r="A1155" t="s">
        <v>1160</v>
      </c>
      <c r="B1155">
        <v>134.25</v>
      </c>
      <c r="C1155">
        <v>283.64</v>
      </c>
      <c r="D1155">
        <v>67.92</v>
      </c>
      <c r="E1155">
        <v>136.18</v>
      </c>
      <c r="F1155">
        <v>434.82</v>
      </c>
    </row>
    <row r="1156" spans="1:6" x14ac:dyDescent="0.25">
      <c r="A1156" t="s">
        <v>1161</v>
      </c>
      <c r="B1156">
        <v>133.02000000000001</v>
      </c>
      <c r="C1156">
        <v>283.68</v>
      </c>
      <c r="D1156">
        <v>68.98</v>
      </c>
      <c r="E1156">
        <v>137.46</v>
      </c>
      <c r="F1156">
        <v>438.24</v>
      </c>
    </row>
    <row r="1157" spans="1:6" x14ac:dyDescent="0.25">
      <c r="A1157" t="s">
        <v>1162</v>
      </c>
      <c r="B1157">
        <v>137.31</v>
      </c>
      <c r="C1157">
        <v>290.73</v>
      </c>
      <c r="D1157">
        <v>67.28</v>
      </c>
      <c r="E1157">
        <v>139.27000000000001</v>
      </c>
      <c r="F1157">
        <v>446.12</v>
      </c>
    </row>
    <row r="1158" spans="1:6" x14ac:dyDescent="0.25">
      <c r="A1158" t="s">
        <v>1163</v>
      </c>
      <c r="B1158">
        <v>140.26</v>
      </c>
      <c r="C1158">
        <v>299.22000000000003</v>
      </c>
      <c r="D1158">
        <v>67.930000000000007</v>
      </c>
      <c r="E1158">
        <v>139.85</v>
      </c>
      <c r="F1158">
        <v>456.55</v>
      </c>
    </row>
    <row r="1159" spans="1:6" x14ac:dyDescent="0.25">
      <c r="A1159" t="s">
        <v>1164</v>
      </c>
      <c r="B1159">
        <v>138.09</v>
      </c>
      <c r="C1159">
        <v>292.83</v>
      </c>
      <c r="D1159">
        <v>68.260000000000005</v>
      </c>
      <c r="E1159">
        <v>139.27000000000001</v>
      </c>
      <c r="F1159">
        <v>452.25</v>
      </c>
    </row>
    <row r="1160" spans="1:6" x14ac:dyDescent="0.25">
      <c r="A1160" t="s">
        <v>1165</v>
      </c>
      <c r="B1160">
        <v>137.88999999999999</v>
      </c>
      <c r="C1160">
        <v>289.36</v>
      </c>
      <c r="D1160">
        <v>70.069999999999993</v>
      </c>
      <c r="E1160">
        <v>136.69999999999999</v>
      </c>
      <c r="F1160">
        <v>443.35</v>
      </c>
    </row>
    <row r="1161" spans="1:6" x14ac:dyDescent="0.25">
      <c r="A1161" t="s">
        <v>1166</v>
      </c>
      <c r="B1161">
        <v>141.94</v>
      </c>
      <c r="C1161">
        <v>294.16000000000003</v>
      </c>
      <c r="D1161">
        <v>69.239999999999995</v>
      </c>
      <c r="E1161">
        <v>136.24</v>
      </c>
      <c r="F1161">
        <v>442.86</v>
      </c>
    </row>
    <row r="1162" spans="1:6" x14ac:dyDescent="0.25">
      <c r="A1162" t="s">
        <v>1167</v>
      </c>
      <c r="B1162">
        <v>141.74</v>
      </c>
      <c r="C1162">
        <v>289.64999999999998</v>
      </c>
      <c r="D1162">
        <v>67.77</v>
      </c>
      <c r="E1162">
        <v>132.80000000000001</v>
      </c>
      <c r="F1162">
        <v>447.99</v>
      </c>
    </row>
    <row r="1163" spans="1:6" x14ac:dyDescent="0.25">
      <c r="A1163" t="s">
        <v>1168</v>
      </c>
      <c r="B1163">
        <v>146.6</v>
      </c>
      <c r="C1163">
        <v>301.39</v>
      </c>
      <c r="D1163">
        <v>68.569999999999993</v>
      </c>
      <c r="E1163">
        <v>133.9</v>
      </c>
      <c r="F1163">
        <v>439.75</v>
      </c>
    </row>
    <row r="1164" spans="1:6" x14ac:dyDescent="0.25">
      <c r="A1164" t="s">
        <v>1169</v>
      </c>
      <c r="B1164">
        <v>136.35</v>
      </c>
      <c r="C1164">
        <v>296.87</v>
      </c>
      <c r="D1164">
        <v>68.75</v>
      </c>
      <c r="E1164">
        <v>134.97999999999999</v>
      </c>
      <c r="F1164">
        <v>429.33</v>
      </c>
    </row>
    <row r="1165" spans="1:6" x14ac:dyDescent="0.25">
      <c r="A1165" t="s">
        <v>1170</v>
      </c>
      <c r="B1165">
        <v>134.03</v>
      </c>
      <c r="C1165">
        <v>299</v>
      </c>
      <c r="D1165">
        <v>64.599999999999994</v>
      </c>
      <c r="E1165">
        <v>132.71</v>
      </c>
      <c r="F1165">
        <v>433.15</v>
      </c>
    </row>
    <row r="1166" spans="1:6" x14ac:dyDescent="0.25">
      <c r="A1166" t="s">
        <v>1171</v>
      </c>
      <c r="B1166">
        <v>132.09</v>
      </c>
      <c r="C1166">
        <v>296.39</v>
      </c>
      <c r="D1166">
        <v>64.03</v>
      </c>
      <c r="E1166">
        <v>130.93</v>
      </c>
      <c r="F1166">
        <v>427.18</v>
      </c>
    </row>
    <row r="1167" spans="1:6" x14ac:dyDescent="0.25">
      <c r="A1167" t="s">
        <v>1172</v>
      </c>
      <c r="B1167">
        <v>127.79</v>
      </c>
      <c r="C1167">
        <v>288.29000000000002</v>
      </c>
      <c r="D1167">
        <v>63.89</v>
      </c>
      <c r="E1167">
        <v>129.77000000000001</v>
      </c>
      <c r="F1167">
        <v>423.09</v>
      </c>
    </row>
    <row r="1168" spans="1:6" x14ac:dyDescent="0.25">
      <c r="A1168" t="s">
        <v>1173</v>
      </c>
      <c r="B1168">
        <v>128.01</v>
      </c>
      <c r="C1168">
        <v>285.27999999999997</v>
      </c>
      <c r="D1168">
        <v>63.08</v>
      </c>
      <c r="E1168">
        <v>132.1</v>
      </c>
      <c r="F1168">
        <v>420.19</v>
      </c>
    </row>
    <row r="1169" spans="1:6" x14ac:dyDescent="0.25">
      <c r="A1169" t="s">
        <v>1174</v>
      </c>
      <c r="B1169">
        <v>125.74</v>
      </c>
      <c r="C1169">
        <v>277.38</v>
      </c>
      <c r="D1169">
        <v>63.73</v>
      </c>
      <c r="E1169">
        <v>130.86000000000001</v>
      </c>
      <c r="F1169">
        <v>418.73</v>
      </c>
    </row>
    <row r="1170" spans="1:6" x14ac:dyDescent="0.25">
      <c r="A1170" t="s">
        <v>1175</v>
      </c>
      <c r="B1170">
        <v>129.57</v>
      </c>
      <c r="C1170">
        <v>284.95</v>
      </c>
      <c r="D1170">
        <v>61.91</v>
      </c>
      <c r="E1170">
        <v>129.44999999999999</v>
      </c>
      <c r="F1170">
        <v>423.71</v>
      </c>
    </row>
    <row r="1171" spans="1:6" x14ac:dyDescent="0.25">
      <c r="A1171" t="s">
        <v>1176</v>
      </c>
      <c r="B1171">
        <v>129.12</v>
      </c>
      <c r="C1171">
        <v>284.63</v>
      </c>
      <c r="D1171">
        <v>61.38</v>
      </c>
      <c r="E1171">
        <v>129.56</v>
      </c>
      <c r="F1171">
        <v>422.7</v>
      </c>
    </row>
    <row r="1172" spans="1:6" x14ac:dyDescent="0.25">
      <c r="A1172" t="s">
        <v>1177</v>
      </c>
      <c r="B1172">
        <v>132.05000000000001</v>
      </c>
      <c r="C1172">
        <v>289.98</v>
      </c>
      <c r="D1172">
        <v>62.32</v>
      </c>
      <c r="E1172">
        <v>131.87</v>
      </c>
      <c r="F1172">
        <v>424.37</v>
      </c>
    </row>
    <row r="1173" spans="1:6" x14ac:dyDescent="0.25">
      <c r="A1173" t="s">
        <v>1178</v>
      </c>
      <c r="B1173">
        <v>133.84</v>
      </c>
      <c r="C1173">
        <v>291.64999999999998</v>
      </c>
      <c r="D1173">
        <v>62.18</v>
      </c>
      <c r="E1173">
        <v>133</v>
      </c>
      <c r="F1173">
        <v>423.93</v>
      </c>
    </row>
    <row r="1174" spans="1:6" x14ac:dyDescent="0.25">
      <c r="A1174" t="s">
        <v>1179</v>
      </c>
      <c r="B1174">
        <v>134.72</v>
      </c>
      <c r="C1174">
        <v>290.99</v>
      </c>
      <c r="D1174">
        <v>62.15</v>
      </c>
      <c r="E1174">
        <v>135.09</v>
      </c>
      <c r="F1174">
        <v>422.53</v>
      </c>
    </row>
    <row r="1175" spans="1:6" x14ac:dyDescent="0.25">
      <c r="A1175" t="s">
        <v>1180</v>
      </c>
      <c r="B1175">
        <v>138.16999999999999</v>
      </c>
      <c r="C1175">
        <v>298.25</v>
      </c>
      <c r="D1175">
        <v>61.13</v>
      </c>
      <c r="E1175">
        <v>141</v>
      </c>
      <c r="F1175">
        <v>429.59</v>
      </c>
    </row>
    <row r="1176" spans="1:6" x14ac:dyDescent="0.25">
      <c r="A1176" t="s">
        <v>1181</v>
      </c>
      <c r="B1176">
        <v>137.28</v>
      </c>
      <c r="C1176">
        <v>293.06</v>
      </c>
      <c r="D1176">
        <v>60.07</v>
      </c>
      <c r="E1176">
        <v>150.24</v>
      </c>
      <c r="F1176">
        <v>428.44</v>
      </c>
    </row>
    <row r="1177" spans="1:6" x14ac:dyDescent="0.25">
      <c r="A1177" t="s">
        <v>1182</v>
      </c>
      <c r="B1177">
        <v>140.1</v>
      </c>
      <c r="C1177">
        <v>306.01</v>
      </c>
      <c r="D1177">
        <v>60.5</v>
      </c>
      <c r="E1177">
        <v>150.41999999999999</v>
      </c>
      <c r="F1177">
        <v>434.2</v>
      </c>
    </row>
    <row r="1178" spans="1:6" x14ac:dyDescent="0.25">
      <c r="A1178" t="s">
        <v>1183</v>
      </c>
      <c r="B1178">
        <v>138.41999999999999</v>
      </c>
      <c r="C1178">
        <v>302.85000000000002</v>
      </c>
      <c r="D1178">
        <v>60.68</v>
      </c>
      <c r="E1178">
        <v>149.58000000000001</v>
      </c>
      <c r="F1178">
        <v>429.87</v>
      </c>
    </row>
    <row r="1179" spans="1:6" x14ac:dyDescent="0.25">
      <c r="A1179" t="s">
        <v>1184</v>
      </c>
      <c r="B1179">
        <v>137.36000000000001</v>
      </c>
      <c r="C1179">
        <v>302.17</v>
      </c>
      <c r="D1179">
        <v>58.23</v>
      </c>
      <c r="E1179">
        <v>149.41999999999999</v>
      </c>
      <c r="F1179">
        <v>426.21</v>
      </c>
    </row>
    <row r="1180" spans="1:6" x14ac:dyDescent="0.25">
      <c r="A1180" t="s">
        <v>1185</v>
      </c>
      <c r="B1180">
        <v>135.72999999999999</v>
      </c>
      <c r="C1180">
        <v>301.94</v>
      </c>
      <c r="D1180">
        <v>58.58</v>
      </c>
      <c r="E1180">
        <v>149.28</v>
      </c>
      <c r="F1180">
        <v>420.34</v>
      </c>
    </row>
    <row r="1181" spans="1:6" x14ac:dyDescent="0.25">
      <c r="A1181" t="s">
        <v>1186</v>
      </c>
      <c r="B1181">
        <v>136.44999999999999</v>
      </c>
      <c r="C1181">
        <v>301.79000000000002</v>
      </c>
      <c r="D1181">
        <v>58.11</v>
      </c>
      <c r="E1181">
        <v>147.82</v>
      </c>
      <c r="F1181">
        <v>430.47</v>
      </c>
    </row>
    <row r="1182" spans="1:6" x14ac:dyDescent="0.25">
      <c r="A1182" t="s">
        <v>1187</v>
      </c>
      <c r="B1182">
        <v>136.47999999999999</v>
      </c>
      <c r="C1182">
        <v>304.19</v>
      </c>
      <c r="D1182">
        <v>56.77</v>
      </c>
      <c r="E1182">
        <v>146.26</v>
      </c>
      <c r="F1182">
        <v>448.84</v>
      </c>
    </row>
    <row r="1183" spans="1:6" x14ac:dyDescent="0.25">
      <c r="A1183" t="s">
        <v>1188</v>
      </c>
      <c r="B1183">
        <v>143.04</v>
      </c>
      <c r="C1183">
        <v>316.33999999999997</v>
      </c>
      <c r="D1183">
        <v>56.07</v>
      </c>
      <c r="E1183">
        <v>148.99</v>
      </c>
      <c r="F1183">
        <v>449.95</v>
      </c>
    </row>
    <row r="1184" spans="1:6" x14ac:dyDescent="0.25">
      <c r="A1184" t="s">
        <v>1189</v>
      </c>
      <c r="B1184">
        <v>143.62</v>
      </c>
      <c r="C1184">
        <v>321.86</v>
      </c>
      <c r="D1184">
        <v>54.04</v>
      </c>
      <c r="E1184">
        <v>143.54</v>
      </c>
      <c r="F1184">
        <v>460.38</v>
      </c>
    </row>
    <row r="1185" spans="1:6" x14ac:dyDescent="0.25">
      <c r="A1185" t="s">
        <v>1190</v>
      </c>
      <c r="B1185">
        <v>143.49</v>
      </c>
      <c r="C1185">
        <v>323.37</v>
      </c>
      <c r="D1185">
        <v>52.04</v>
      </c>
      <c r="E1185">
        <v>140.57</v>
      </c>
      <c r="F1185">
        <v>460.25</v>
      </c>
    </row>
    <row r="1186" spans="1:6" x14ac:dyDescent="0.25">
      <c r="A1186" t="s">
        <v>1191</v>
      </c>
      <c r="B1186">
        <v>144.82</v>
      </c>
      <c r="C1186">
        <v>326.25</v>
      </c>
      <c r="D1186">
        <v>51.7</v>
      </c>
      <c r="E1186">
        <v>140.69</v>
      </c>
      <c r="F1186">
        <v>462.35</v>
      </c>
    </row>
    <row r="1187" spans="1:6" x14ac:dyDescent="0.25">
      <c r="A1187" t="s">
        <v>1192</v>
      </c>
      <c r="B1187">
        <v>145.27000000000001</v>
      </c>
      <c r="C1187">
        <v>328.78</v>
      </c>
      <c r="D1187">
        <v>52.01</v>
      </c>
      <c r="E1187">
        <v>140.76</v>
      </c>
      <c r="F1187">
        <v>463.4</v>
      </c>
    </row>
    <row r="1188" spans="1:6" x14ac:dyDescent="0.25">
      <c r="A1188" t="s">
        <v>1193</v>
      </c>
      <c r="B1188">
        <v>145.30000000000001</v>
      </c>
      <c r="C1188">
        <v>328.11</v>
      </c>
      <c r="D1188">
        <v>52.47</v>
      </c>
      <c r="E1188">
        <v>140.83000000000001</v>
      </c>
      <c r="F1188">
        <v>460.98</v>
      </c>
    </row>
    <row r="1189" spans="1:6" x14ac:dyDescent="0.25">
      <c r="A1189" t="s">
        <v>1194</v>
      </c>
      <c r="B1189">
        <v>146.51</v>
      </c>
      <c r="C1189">
        <v>329.26</v>
      </c>
      <c r="D1189">
        <v>52.64</v>
      </c>
      <c r="E1189">
        <v>140.4</v>
      </c>
      <c r="F1189">
        <v>457.83</v>
      </c>
    </row>
    <row r="1190" spans="1:6" x14ac:dyDescent="0.25">
      <c r="A1190" t="s">
        <v>1195</v>
      </c>
      <c r="B1190">
        <v>145.53</v>
      </c>
      <c r="C1190">
        <v>321.8</v>
      </c>
      <c r="D1190">
        <v>51.9</v>
      </c>
      <c r="E1190">
        <v>139.6</v>
      </c>
      <c r="F1190">
        <v>454.05</v>
      </c>
    </row>
    <row r="1191" spans="1:6" x14ac:dyDescent="0.25">
      <c r="A1191" t="s">
        <v>1196</v>
      </c>
      <c r="B1191">
        <v>145.03</v>
      </c>
      <c r="C1191">
        <v>320.37</v>
      </c>
      <c r="D1191">
        <v>51.87</v>
      </c>
      <c r="E1191">
        <v>139.11000000000001</v>
      </c>
      <c r="F1191">
        <v>452.91</v>
      </c>
    </row>
    <row r="1192" spans="1:6" x14ac:dyDescent="0.25">
      <c r="A1192" t="s">
        <v>1197</v>
      </c>
      <c r="B1192">
        <v>142.12</v>
      </c>
      <c r="C1192">
        <v>314.68</v>
      </c>
      <c r="D1192">
        <v>51.46</v>
      </c>
      <c r="E1192">
        <v>138.56</v>
      </c>
      <c r="F1192">
        <v>446.56</v>
      </c>
    </row>
    <row r="1193" spans="1:6" x14ac:dyDescent="0.25">
      <c r="A1193" t="s">
        <v>1198</v>
      </c>
      <c r="B1193">
        <v>140.27000000000001</v>
      </c>
      <c r="C1193">
        <v>307.58999999999997</v>
      </c>
      <c r="D1193">
        <v>50.32</v>
      </c>
      <c r="E1193">
        <v>136.66</v>
      </c>
      <c r="F1193">
        <v>443.38</v>
      </c>
    </row>
    <row r="1194" spans="1:6" x14ac:dyDescent="0.25">
      <c r="A1194" t="s">
        <v>1199</v>
      </c>
      <c r="B1194">
        <v>140.38999999999999</v>
      </c>
      <c r="C1194">
        <v>311.33</v>
      </c>
      <c r="D1194">
        <v>51.06</v>
      </c>
      <c r="E1194">
        <v>139.16</v>
      </c>
      <c r="F1194">
        <v>446.48</v>
      </c>
    </row>
    <row r="1195" spans="1:6" x14ac:dyDescent="0.25">
      <c r="A1195" t="s">
        <v>1200</v>
      </c>
      <c r="B1195">
        <v>143.08000000000001</v>
      </c>
      <c r="C1195">
        <v>312.39</v>
      </c>
      <c r="D1195">
        <v>52.2</v>
      </c>
      <c r="E1195">
        <v>142.4</v>
      </c>
      <c r="F1195">
        <v>451.74</v>
      </c>
    </row>
    <row r="1196" spans="1:6" x14ac:dyDescent="0.25">
      <c r="A1196" t="s">
        <v>1201</v>
      </c>
      <c r="B1196">
        <v>145.06</v>
      </c>
      <c r="C1196">
        <v>321.76</v>
      </c>
      <c r="D1196">
        <v>52.11</v>
      </c>
      <c r="E1196">
        <v>140.21</v>
      </c>
      <c r="F1196">
        <v>453.14</v>
      </c>
    </row>
    <row r="1197" spans="1:6" x14ac:dyDescent="0.25">
      <c r="A1197" t="s">
        <v>1202</v>
      </c>
      <c r="B1197">
        <v>142.55000000000001</v>
      </c>
      <c r="C1197">
        <v>315.69</v>
      </c>
      <c r="D1197">
        <v>52.34</v>
      </c>
      <c r="E1197">
        <v>141.26</v>
      </c>
      <c r="F1197">
        <v>439.46</v>
      </c>
    </row>
    <row r="1198" spans="1:6" x14ac:dyDescent="0.25">
      <c r="A1198" t="s">
        <v>1203</v>
      </c>
      <c r="B1198">
        <v>144.44999999999999</v>
      </c>
      <c r="C1198">
        <v>326.33</v>
      </c>
      <c r="D1198">
        <v>52.42</v>
      </c>
      <c r="E1198">
        <v>140.19</v>
      </c>
      <c r="F1198">
        <v>438.25</v>
      </c>
    </row>
    <row r="1199" spans="1:6" x14ac:dyDescent="0.25">
      <c r="A1199" t="s">
        <v>1204</v>
      </c>
      <c r="B1199">
        <v>146.61000000000001</v>
      </c>
      <c r="C1199">
        <v>329.35</v>
      </c>
      <c r="D1199">
        <v>53.59</v>
      </c>
      <c r="E1199">
        <v>141.88</v>
      </c>
      <c r="F1199">
        <v>438.33</v>
      </c>
    </row>
    <row r="1200" spans="1:6" x14ac:dyDescent="0.25">
      <c r="A1200" t="s">
        <v>1205</v>
      </c>
      <c r="B1200">
        <v>146.25</v>
      </c>
      <c r="C1200">
        <v>320.27</v>
      </c>
      <c r="D1200">
        <v>53.25</v>
      </c>
      <c r="E1200">
        <v>142.44</v>
      </c>
      <c r="F1200">
        <v>433.83</v>
      </c>
    </row>
    <row r="1201" spans="1:6" x14ac:dyDescent="0.25">
      <c r="A1201" t="s">
        <v>1206</v>
      </c>
      <c r="B1201">
        <v>146.79</v>
      </c>
      <c r="C1201">
        <v>322.07</v>
      </c>
      <c r="D1201">
        <v>53.11</v>
      </c>
      <c r="E1201">
        <v>142.66999999999999</v>
      </c>
      <c r="F1201">
        <v>429.75</v>
      </c>
    </row>
    <row r="1202" spans="1:6" x14ac:dyDescent="0.25">
      <c r="A1202" t="s">
        <v>1207</v>
      </c>
      <c r="B1202">
        <v>145.88</v>
      </c>
      <c r="C1202">
        <v>322.02</v>
      </c>
      <c r="D1202">
        <v>52.96</v>
      </c>
      <c r="E1202">
        <v>144.32</v>
      </c>
      <c r="F1202">
        <v>425.96</v>
      </c>
    </row>
    <row r="1203" spans="1:6" x14ac:dyDescent="0.25">
      <c r="A1203" t="s">
        <v>1208</v>
      </c>
      <c r="B1203">
        <v>141.81</v>
      </c>
      <c r="C1203">
        <v>313.63</v>
      </c>
      <c r="D1203">
        <v>52.37</v>
      </c>
      <c r="E1203">
        <v>142.18</v>
      </c>
      <c r="F1203">
        <v>421.73</v>
      </c>
    </row>
    <row r="1204" spans="1:6" x14ac:dyDescent="0.25">
      <c r="A1204" t="s">
        <v>1209</v>
      </c>
      <c r="B1204">
        <v>140.66</v>
      </c>
      <c r="C1204">
        <v>310.57</v>
      </c>
      <c r="D1204">
        <v>51.79</v>
      </c>
      <c r="E1204">
        <v>140.52000000000001</v>
      </c>
      <c r="F1204">
        <v>411.84</v>
      </c>
    </row>
    <row r="1205" spans="1:6" x14ac:dyDescent="0.25">
      <c r="A1205" t="s">
        <v>1210</v>
      </c>
      <c r="B1205">
        <v>141.62</v>
      </c>
      <c r="C1205">
        <v>316.8</v>
      </c>
      <c r="D1205">
        <v>52.12</v>
      </c>
      <c r="E1205">
        <v>143.11000000000001</v>
      </c>
      <c r="F1205">
        <v>407.48</v>
      </c>
    </row>
    <row r="1206" spans="1:6" x14ac:dyDescent="0.25">
      <c r="A1206" t="s">
        <v>1211</v>
      </c>
      <c r="B1206">
        <v>139.72</v>
      </c>
      <c r="C1206">
        <v>317.37</v>
      </c>
      <c r="D1206">
        <v>50.85</v>
      </c>
      <c r="E1206">
        <v>140.16</v>
      </c>
      <c r="F1206">
        <v>405.95</v>
      </c>
    </row>
    <row r="1207" spans="1:6" x14ac:dyDescent="0.25">
      <c r="A1207" t="s">
        <v>1212</v>
      </c>
      <c r="B1207">
        <v>140.56</v>
      </c>
      <c r="C1207">
        <v>317.86</v>
      </c>
      <c r="D1207">
        <v>50.89</v>
      </c>
      <c r="E1207">
        <v>141</v>
      </c>
      <c r="F1207">
        <v>405.84</v>
      </c>
    </row>
    <row r="1208" spans="1:6" x14ac:dyDescent="0.25">
      <c r="A1208" t="s">
        <v>1213</v>
      </c>
      <c r="B1208">
        <v>144.16</v>
      </c>
      <c r="C1208">
        <v>323.66000000000003</v>
      </c>
      <c r="D1208">
        <v>52.38</v>
      </c>
      <c r="E1208">
        <v>143.13</v>
      </c>
      <c r="F1208">
        <v>412.95</v>
      </c>
    </row>
    <row r="1209" spans="1:6" x14ac:dyDescent="0.25">
      <c r="A1209" t="s">
        <v>1214</v>
      </c>
      <c r="B1209">
        <v>140.84</v>
      </c>
      <c r="C1209">
        <v>316.98</v>
      </c>
      <c r="D1209">
        <v>52.09</v>
      </c>
      <c r="E1209">
        <v>143.75</v>
      </c>
      <c r="F1209">
        <v>401.9</v>
      </c>
    </row>
    <row r="1210" spans="1:6" x14ac:dyDescent="0.25">
      <c r="A1210" t="s">
        <v>1215</v>
      </c>
      <c r="B1210">
        <v>144.74</v>
      </c>
      <c r="C1210">
        <v>324.89</v>
      </c>
      <c r="D1210">
        <v>53.99</v>
      </c>
      <c r="E1210">
        <v>148.21</v>
      </c>
      <c r="F1210">
        <v>411.26</v>
      </c>
    </row>
    <row r="1211" spans="1:6" x14ac:dyDescent="0.25">
      <c r="A1211" t="s">
        <v>1216</v>
      </c>
      <c r="B1211">
        <v>144.41</v>
      </c>
      <c r="C1211">
        <v>324.67</v>
      </c>
      <c r="D1211">
        <v>53.69</v>
      </c>
      <c r="E1211">
        <v>149.38999999999999</v>
      </c>
      <c r="F1211">
        <v>408.5</v>
      </c>
    </row>
    <row r="1212" spans="1:6" x14ac:dyDescent="0.25">
      <c r="A1212" t="s">
        <v>1217</v>
      </c>
      <c r="B1212">
        <v>144.91999999999999</v>
      </c>
      <c r="C1212">
        <v>326.74</v>
      </c>
      <c r="D1212">
        <v>52.31</v>
      </c>
      <c r="E1212">
        <v>145.9</v>
      </c>
      <c r="F1212">
        <v>399.73</v>
      </c>
    </row>
    <row r="1213" spans="1:6" x14ac:dyDescent="0.25">
      <c r="A1213" t="s">
        <v>1218</v>
      </c>
      <c r="B1213">
        <v>147.52000000000001</v>
      </c>
      <c r="C1213">
        <v>329.89</v>
      </c>
      <c r="D1213">
        <v>51.6</v>
      </c>
      <c r="E1213">
        <v>142.85</v>
      </c>
      <c r="F1213">
        <v>401.98</v>
      </c>
    </row>
    <row r="1214" spans="1:6" x14ac:dyDescent="0.25">
      <c r="A1214" t="s">
        <v>1219</v>
      </c>
      <c r="B1214">
        <v>148.43</v>
      </c>
      <c r="C1214">
        <v>328.13</v>
      </c>
      <c r="D1214">
        <v>54.1</v>
      </c>
      <c r="E1214">
        <v>144.74</v>
      </c>
      <c r="F1214">
        <v>410.63</v>
      </c>
    </row>
    <row r="1215" spans="1:6" x14ac:dyDescent="0.25">
      <c r="A1215" t="s">
        <v>1220</v>
      </c>
      <c r="B1215">
        <v>146.65</v>
      </c>
      <c r="C1215">
        <v>326.06</v>
      </c>
      <c r="D1215">
        <v>54.7</v>
      </c>
      <c r="E1215">
        <v>146</v>
      </c>
      <c r="F1215">
        <v>410.16</v>
      </c>
    </row>
    <row r="1216" spans="1:6" x14ac:dyDescent="0.25">
      <c r="A1216" t="s">
        <v>1221</v>
      </c>
      <c r="B1216">
        <v>146.47999999999999</v>
      </c>
      <c r="C1216">
        <v>325.83999999999997</v>
      </c>
      <c r="D1216">
        <v>55.3</v>
      </c>
      <c r="E1216">
        <v>146.79</v>
      </c>
      <c r="F1216">
        <v>410.77</v>
      </c>
    </row>
    <row r="1217" spans="1:6" x14ac:dyDescent="0.25">
      <c r="A1217" t="s">
        <v>1222</v>
      </c>
      <c r="B1217">
        <v>147.05000000000001</v>
      </c>
      <c r="C1217">
        <v>322.54000000000002</v>
      </c>
      <c r="D1217">
        <v>54.75</v>
      </c>
      <c r="E1217">
        <v>147.86000000000001</v>
      </c>
      <c r="F1217">
        <v>411.85</v>
      </c>
    </row>
    <row r="1218" spans="1:6" x14ac:dyDescent="0.25">
      <c r="A1218" t="s">
        <v>1223</v>
      </c>
      <c r="B1218">
        <v>147.28</v>
      </c>
      <c r="C1218">
        <v>323.16000000000003</v>
      </c>
      <c r="D1218">
        <v>54.28</v>
      </c>
      <c r="E1218">
        <v>148.13</v>
      </c>
      <c r="F1218">
        <v>419.33</v>
      </c>
    </row>
    <row r="1219" spans="1:6" x14ac:dyDescent="0.25">
      <c r="A1219" t="s">
        <v>1224</v>
      </c>
      <c r="B1219">
        <v>144.38999999999999</v>
      </c>
      <c r="C1219">
        <v>319.04000000000002</v>
      </c>
      <c r="D1219">
        <v>54.7</v>
      </c>
      <c r="E1219">
        <v>148.79</v>
      </c>
      <c r="F1219">
        <v>417.87</v>
      </c>
    </row>
    <row r="1220" spans="1:6" x14ac:dyDescent="0.25">
      <c r="A1220" t="s">
        <v>1225</v>
      </c>
      <c r="B1220">
        <v>144.52000000000001</v>
      </c>
      <c r="C1220">
        <v>317.48</v>
      </c>
      <c r="D1220">
        <v>54.59</v>
      </c>
      <c r="E1220">
        <v>148.80000000000001</v>
      </c>
      <c r="F1220">
        <v>420.16</v>
      </c>
    </row>
    <row r="1221" spans="1:6" x14ac:dyDescent="0.25">
      <c r="A1221" t="s">
        <v>1226</v>
      </c>
      <c r="B1221">
        <v>147.51</v>
      </c>
      <c r="C1221">
        <v>322.42</v>
      </c>
      <c r="D1221">
        <v>55.69</v>
      </c>
      <c r="E1221">
        <v>148.94</v>
      </c>
      <c r="F1221">
        <v>424.23</v>
      </c>
    </row>
    <row r="1222" spans="1:6" x14ac:dyDescent="0.25">
      <c r="A1222" t="s">
        <v>1227</v>
      </c>
      <c r="B1222">
        <v>147.63</v>
      </c>
      <c r="C1222">
        <v>323.42</v>
      </c>
      <c r="D1222">
        <v>55.15</v>
      </c>
      <c r="E1222">
        <v>150.08000000000001</v>
      </c>
      <c r="F1222">
        <v>422.65</v>
      </c>
    </row>
    <row r="1223" spans="1:6" x14ac:dyDescent="0.25">
      <c r="A1223" t="s">
        <v>1228</v>
      </c>
      <c r="B1223">
        <v>147.44999999999999</v>
      </c>
      <c r="C1223">
        <v>322.52999999999997</v>
      </c>
      <c r="D1223">
        <v>54.57</v>
      </c>
      <c r="E1223">
        <v>149.18</v>
      </c>
      <c r="F1223">
        <v>416.43</v>
      </c>
    </row>
    <row r="1224" spans="1:6" x14ac:dyDescent="0.25">
      <c r="A1224" t="s">
        <v>1229</v>
      </c>
      <c r="B1224">
        <v>146.87</v>
      </c>
      <c r="C1224">
        <v>322.89</v>
      </c>
      <c r="D1224">
        <v>54.05</v>
      </c>
      <c r="E1224">
        <v>149.4</v>
      </c>
      <c r="F1224">
        <v>417.29</v>
      </c>
    </row>
    <row r="1225" spans="1:6" x14ac:dyDescent="0.25">
      <c r="A1225" t="s">
        <v>1230</v>
      </c>
      <c r="B1225">
        <v>145.22</v>
      </c>
      <c r="C1225">
        <v>320.55</v>
      </c>
      <c r="D1225">
        <v>53.65</v>
      </c>
      <c r="E1225">
        <v>151.38</v>
      </c>
      <c r="F1225">
        <v>417.81</v>
      </c>
    </row>
    <row r="1226" spans="1:6" x14ac:dyDescent="0.25">
      <c r="A1226" t="s">
        <v>1231</v>
      </c>
      <c r="B1226">
        <v>144.06</v>
      </c>
      <c r="C1226">
        <v>319.70999999999998</v>
      </c>
      <c r="D1226">
        <v>54.4</v>
      </c>
      <c r="E1226">
        <v>151.33000000000001</v>
      </c>
      <c r="F1226">
        <v>412.98</v>
      </c>
    </row>
    <row r="1227" spans="1:6" x14ac:dyDescent="0.25">
      <c r="A1227" t="s">
        <v>1232</v>
      </c>
      <c r="B1227">
        <v>142.13999999999999</v>
      </c>
      <c r="C1227">
        <v>316.11</v>
      </c>
      <c r="D1227">
        <v>55.08</v>
      </c>
      <c r="E1227">
        <v>150.74</v>
      </c>
      <c r="F1227">
        <v>414.87</v>
      </c>
    </row>
    <row r="1228" spans="1:6" x14ac:dyDescent="0.25">
      <c r="A1228" t="s">
        <v>1233</v>
      </c>
      <c r="B1228">
        <v>146.65</v>
      </c>
      <c r="C1228">
        <v>318.26</v>
      </c>
      <c r="D1228">
        <v>54.1</v>
      </c>
      <c r="E1228">
        <v>150.82</v>
      </c>
      <c r="F1228">
        <v>420.68</v>
      </c>
    </row>
    <row r="1229" spans="1:6" x14ac:dyDescent="0.25">
      <c r="A1229" t="s">
        <v>1234</v>
      </c>
      <c r="B1229">
        <v>144.47</v>
      </c>
      <c r="C1229">
        <v>311.29000000000002</v>
      </c>
      <c r="D1229">
        <v>53.97</v>
      </c>
      <c r="E1229">
        <v>151.22999999999999</v>
      </c>
      <c r="F1229">
        <v>416.09</v>
      </c>
    </row>
    <row r="1230" spans="1:6" x14ac:dyDescent="0.25">
      <c r="A1230" t="s">
        <v>1235</v>
      </c>
      <c r="B1230">
        <v>144.84</v>
      </c>
      <c r="C1230">
        <v>310.16000000000003</v>
      </c>
      <c r="D1230">
        <v>53.82</v>
      </c>
      <c r="E1230">
        <v>148.99</v>
      </c>
      <c r="F1230">
        <v>414.3</v>
      </c>
    </row>
    <row r="1231" spans="1:6" x14ac:dyDescent="0.25">
      <c r="A1231" t="s">
        <v>1236</v>
      </c>
      <c r="B1231">
        <v>138</v>
      </c>
      <c r="C1231">
        <v>297.62</v>
      </c>
      <c r="D1231">
        <v>55.25</v>
      </c>
      <c r="E1231">
        <v>152.16</v>
      </c>
      <c r="F1231">
        <v>415.36</v>
      </c>
    </row>
    <row r="1232" spans="1:6" x14ac:dyDescent="0.25">
      <c r="A1232" t="s">
        <v>1237</v>
      </c>
      <c r="B1232">
        <v>136.15</v>
      </c>
      <c r="C1232">
        <v>295.72000000000003</v>
      </c>
      <c r="D1232">
        <v>54</v>
      </c>
      <c r="E1232">
        <v>151.75</v>
      </c>
      <c r="F1232">
        <v>410.65</v>
      </c>
    </row>
    <row r="1233" spans="1:6" x14ac:dyDescent="0.25">
      <c r="A1233" t="s">
        <v>1238</v>
      </c>
      <c r="B1233">
        <v>136.27000000000001</v>
      </c>
      <c r="C1233">
        <v>296.70999999999998</v>
      </c>
      <c r="D1233">
        <v>52.97</v>
      </c>
      <c r="E1233">
        <v>152.49</v>
      </c>
      <c r="F1233">
        <v>410.35</v>
      </c>
    </row>
    <row r="1234" spans="1:6" x14ac:dyDescent="0.25">
      <c r="A1234" t="s">
        <v>1239</v>
      </c>
      <c r="B1234">
        <v>140.55000000000001</v>
      </c>
      <c r="C1234">
        <v>298.24</v>
      </c>
      <c r="D1234">
        <v>52.61</v>
      </c>
      <c r="E1234">
        <v>150.47</v>
      </c>
      <c r="F1234">
        <v>404.07</v>
      </c>
    </row>
    <row r="1235" spans="1:6" x14ac:dyDescent="0.25">
      <c r="A1235" t="s">
        <v>1240</v>
      </c>
      <c r="B1235">
        <v>140.43</v>
      </c>
      <c r="C1235">
        <v>295.02999999999997</v>
      </c>
      <c r="D1235">
        <v>53.58</v>
      </c>
      <c r="E1235">
        <v>151.66</v>
      </c>
      <c r="F1235">
        <v>397.5</v>
      </c>
    </row>
    <row r="1236" spans="1:6" x14ac:dyDescent="0.25">
      <c r="A1236" t="s">
        <v>1241</v>
      </c>
      <c r="B1236">
        <v>141.88999999999999</v>
      </c>
      <c r="C1236">
        <v>295.82</v>
      </c>
      <c r="D1236">
        <v>53.29</v>
      </c>
      <c r="E1236">
        <v>149.63999999999999</v>
      </c>
      <c r="F1236">
        <v>387.71</v>
      </c>
    </row>
    <row r="1237" spans="1:6" x14ac:dyDescent="0.25">
      <c r="A1237" t="s">
        <v>1242</v>
      </c>
      <c r="B1237">
        <v>141.43</v>
      </c>
      <c r="C1237">
        <v>294.91000000000003</v>
      </c>
      <c r="D1237">
        <v>52.5</v>
      </c>
      <c r="E1237">
        <v>147.85</v>
      </c>
      <c r="F1237">
        <v>387.93</v>
      </c>
    </row>
    <row r="1238" spans="1:6" x14ac:dyDescent="0.25">
      <c r="A1238" t="s">
        <v>1243</v>
      </c>
      <c r="B1238">
        <v>140.04</v>
      </c>
      <c r="C1238">
        <v>291.95999999999998</v>
      </c>
      <c r="D1238">
        <v>52.53</v>
      </c>
      <c r="E1238">
        <v>147.9</v>
      </c>
      <c r="F1238">
        <v>391.08</v>
      </c>
    </row>
    <row r="1239" spans="1:6" x14ac:dyDescent="0.25">
      <c r="A1239" t="s">
        <v>1244</v>
      </c>
      <c r="B1239">
        <v>139.82</v>
      </c>
      <c r="C1239">
        <v>290.56</v>
      </c>
      <c r="D1239">
        <v>52.03</v>
      </c>
      <c r="E1239">
        <v>145.12</v>
      </c>
      <c r="F1239">
        <v>384.04</v>
      </c>
    </row>
    <row r="1240" spans="1:6" x14ac:dyDescent="0.25">
      <c r="A1240" t="s">
        <v>1245</v>
      </c>
      <c r="B1240">
        <v>136.29</v>
      </c>
      <c r="C1240">
        <v>284.38</v>
      </c>
      <c r="D1240">
        <v>51.25</v>
      </c>
      <c r="E1240">
        <v>142.91999999999999</v>
      </c>
      <c r="F1240">
        <v>368.68</v>
      </c>
    </row>
    <row r="1241" spans="1:6" x14ac:dyDescent="0.25">
      <c r="A1241" t="s">
        <v>1246</v>
      </c>
      <c r="B1241">
        <v>135.16</v>
      </c>
      <c r="C1241">
        <v>281.08</v>
      </c>
      <c r="D1241">
        <v>51.39</v>
      </c>
      <c r="E1241">
        <v>146.79</v>
      </c>
      <c r="F1241">
        <v>368.4</v>
      </c>
    </row>
    <row r="1242" spans="1:6" x14ac:dyDescent="0.25">
      <c r="A1242" t="s">
        <v>1247</v>
      </c>
      <c r="B1242">
        <v>137.6</v>
      </c>
      <c r="C1242">
        <v>282.38</v>
      </c>
      <c r="D1242">
        <v>51.66</v>
      </c>
      <c r="E1242">
        <v>147.93</v>
      </c>
      <c r="F1242">
        <v>370</v>
      </c>
    </row>
    <row r="1243" spans="1:6" x14ac:dyDescent="0.25">
      <c r="A1243" t="s">
        <v>1248</v>
      </c>
      <c r="B1243">
        <v>138.47</v>
      </c>
      <c r="C1243">
        <v>282.98</v>
      </c>
      <c r="D1243">
        <v>52.18</v>
      </c>
      <c r="E1243">
        <v>151.11000000000001</v>
      </c>
      <c r="F1243">
        <v>373.17</v>
      </c>
    </row>
    <row r="1244" spans="1:6" x14ac:dyDescent="0.25">
      <c r="A1244" t="s">
        <v>1249</v>
      </c>
      <c r="B1244">
        <v>137.91</v>
      </c>
      <c r="C1244">
        <v>282.98</v>
      </c>
      <c r="D1244">
        <v>50.91</v>
      </c>
      <c r="E1244">
        <v>150.99</v>
      </c>
      <c r="F1244">
        <v>369.73</v>
      </c>
    </row>
    <row r="1245" spans="1:6" x14ac:dyDescent="0.25">
      <c r="A1245" t="s">
        <v>1250</v>
      </c>
      <c r="B1245">
        <v>136.27000000000001</v>
      </c>
      <c r="C1245">
        <v>281.31</v>
      </c>
      <c r="D1245">
        <v>50.76</v>
      </c>
      <c r="E1245">
        <v>150.04</v>
      </c>
      <c r="F1245">
        <v>360.19</v>
      </c>
    </row>
    <row r="1246" spans="1:6" x14ac:dyDescent="0.25">
      <c r="A1246" t="s">
        <v>1251</v>
      </c>
      <c r="B1246">
        <v>134.74</v>
      </c>
      <c r="C1246">
        <v>277.13</v>
      </c>
      <c r="D1246">
        <v>51.71</v>
      </c>
      <c r="E1246">
        <v>149.72</v>
      </c>
      <c r="F1246">
        <v>359.44</v>
      </c>
    </row>
    <row r="1247" spans="1:6" x14ac:dyDescent="0.25">
      <c r="A1247" t="s">
        <v>1252</v>
      </c>
      <c r="B1247">
        <v>132.4</v>
      </c>
      <c r="C1247">
        <v>271.70999999999998</v>
      </c>
      <c r="D1247">
        <v>51.8</v>
      </c>
      <c r="E1247">
        <v>147.32</v>
      </c>
      <c r="F1247">
        <v>353.57</v>
      </c>
    </row>
    <row r="1248" spans="1:6" x14ac:dyDescent="0.25">
      <c r="A1248" t="s">
        <v>1253</v>
      </c>
      <c r="B1248">
        <v>135.26</v>
      </c>
      <c r="C1248">
        <v>277.45999999999998</v>
      </c>
      <c r="D1248">
        <v>51.13</v>
      </c>
      <c r="E1248">
        <v>147.47999999999999</v>
      </c>
      <c r="F1248">
        <v>358.52</v>
      </c>
    </row>
    <row r="1249" spans="1:6" x14ac:dyDescent="0.25">
      <c r="A1249" t="s">
        <v>1254</v>
      </c>
      <c r="B1249">
        <v>132.41999999999999</v>
      </c>
      <c r="C1249">
        <v>270.57</v>
      </c>
      <c r="D1249">
        <v>49.36</v>
      </c>
      <c r="E1249">
        <v>144.44</v>
      </c>
      <c r="F1249">
        <v>356.98</v>
      </c>
    </row>
    <row r="1250" spans="1:6" x14ac:dyDescent="0.25">
      <c r="A1250" t="s">
        <v>1255</v>
      </c>
      <c r="B1250">
        <v>133.09</v>
      </c>
      <c r="C1250">
        <v>272.56</v>
      </c>
      <c r="D1250">
        <v>50.25</v>
      </c>
      <c r="E1250">
        <v>146.44</v>
      </c>
      <c r="F1250">
        <v>365.81</v>
      </c>
    </row>
    <row r="1251" spans="1:6" x14ac:dyDescent="0.25">
      <c r="A1251" t="s">
        <v>1256</v>
      </c>
      <c r="B1251">
        <v>134.55000000000001</v>
      </c>
      <c r="C1251">
        <v>272.10000000000002</v>
      </c>
      <c r="D1251">
        <v>50.29</v>
      </c>
      <c r="E1251">
        <v>146.55000000000001</v>
      </c>
      <c r="F1251">
        <v>364.18</v>
      </c>
    </row>
    <row r="1252" spans="1:6" x14ac:dyDescent="0.25">
      <c r="A1252" t="s">
        <v>1257</v>
      </c>
      <c r="B1252">
        <v>139.74</v>
      </c>
      <c r="C1252">
        <v>282.32</v>
      </c>
      <c r="D1252">
        <v>49.77</v>
      </c>
      <c r="E1252">
        <v>147.34</v>
      </c>
      <c r="F1252">
        <v>370.25</v>
      </c>
    </row>
    <row r="1253" spans="1:6" x14ac:dyDescent="0.25">
      <c r="A1253" t="s">
        <v>1258</v>
      </c>
      <c r="B1253">
        <v>140.87</v>
      </c>
      <c r="C1253">
        <v>287.29000000000002</v>
      </c>
      <c r="D1253">
        <v>48.33</v>
      </c>
      <c r="E1253">
        <v>143.87</v>
      </c>
      <c r="F1253">
        <v>371.91</v>
      </c>
    </row>
    <row r="1254" spans="1:6" x14ac:dyDescent="0.25">
      <c r="A1254" t="s">
        <v>1259</v>
      </c>
      <c r="B1254">
        <v>139.88</v>
      </c>
      <c r="C1254">
        <v>287.5</v>
      </c>
      <c r="D1254">
        <v>47.9</v>
      </c>
      <c r="E1254">
        <v>142.22999999999999</v>
      </c>
      <c r="F1254">
        <v>372.77</v>
      </c>
    </row>
    <row r="1255" spans="1:6" x14ac:dyDescent="0.25">
      <c r="A1255" t="s">
        <v>1260</v>
      </c>
      <c r="B1255">
        <v>138.96</v>
      </c>
      <c r="C1255">
        <v>286.56</v>
      </c>
      <c r="D1255">
        <v>46.33</v>
      </c>
      <c r="E1255">
        <v>137.58000000000001</v>
      </c>
      <c r="F1255">
        <v>373.39</v>
      </c>
    </row>
    <row r="1256" spans="1:6" x14ac:dyDescent="0.25">
      <c r="A1256" t="s">
        <v>1261</v>
      </c>
      <c r="B1256">
        <v>137.72</v>
      </c>
      <c r="C1256">
        <v>282.93</v>
      </c>
      <c r="D1256">
        <v>45.02</v>
      </c>
      <c r="E1256">
        <v>134.99</v>
      </c>
      <c r="F1256">
        <v>376.71</v>
      </c>
    </row>
    <row r="1257" spans="1:6" x14ac:dyDescent="0.25">
      <c r="A1257" t="s">
        <v>1262</v>
      </c>
      <c r="B1257">
        <v>137.41</v>
      </c>
      <c r="C1257">
        <v>282.45</v>
      </c>
      <c r="D1257">
        <v>45.06</v>
      </c>
      <c r="E1257">
        <v>134.97</v>
      </c>
      <c r="F1257">
        <v>377.04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87A6-8FF3-4423-A391-9E8BBB0CF037}">
  <dimension ref="A1:J1257"/>
  <sheetViews>
    <sheetView topLeftCell="A2" workbookViewId="0">
      <selection activeCell="H3" sqref="H3"/>
    </sheetView>
  </sheetViews>
  <sheetFormatPr defaultRowHeight="15" x14ac:dyDescent="0.25"/>
  <cols>
    <col min="1" max="1" width="12" bestFit="1" customWidth="1"/>
    <col min="2" max="2" width="9.85546875" customWidth="1"/>
    <col min="7" max="7" width="18.28515625" bestFit="1" customWidth="1"/>
    <col min="8" max="8" width="17.140625" style="8" bestFit="1" customWidth="1"/>
    <col min="9" max="9" width="14.85546875" bestFit="1" customWidth="1"/>
    <col min="10" max="10" width="12.7109375" bestFit="1" customWidth="1"/>
  </cols>
  <sheetData>
    <row r="1" spans="1:10" x14ac:dyDescent="0.25">
      <c r="A1" s="4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1265</v>
      </c>
      <c r="H1" s="7" t="s">
        <v>1266</v>
      </c>
      <c r="I1" s="2" t="s">
        <v>1276</v>
      </c>
      <c r="J1" s="2" t="s">
        <v>1277</v>
      </c>
    </row>
    <row r="2" spans="1:10" x14ac:dyDescent="0.25">
      <c r="A2" s="5">
        <v>44459</v>
      </c>
      <c r="H2" s="8">
        <v>1000000</v>
      </c>
      <c r="I2" s="8">
        <f t="shared" ref="I2:I65" si="0">MAX(I1,H2)</f>
        <v>1000000</v>
      </c>
      <c r="J2" s="13">
        <f t="shared" ref="J2:J65" si="1">(H2-I2)/I2</f>
        <v>0</v>
      </c>
    </row>
    <row r="3" spans="1:10" x14ac:dyDescent="0.25">
      <c r="A3" s="6">
        <v>44460</v>
      </c>
      <c r="B3">
        <f>(Prices!B1257/Prices!B1256)-1</f>
        <v>-2.2509439442346402E-3</v>
      </c>
      <c r="C3">
        <f>(Prices!C1257/Prices!C1256)-1</f>
        <v>-1.696532711271348E-3</v>
      </c>
      <c r="D3">
        <f>(Prices!D1257/Prices!D1256)-1</f>
        <v>8.8849400266544087E-4</v>
      </c>
      <c r="E3">
        <f>(Prices!E1257/Prices!E1256)-1</f>
        <v>-1.4815912289811717E-4</v>
      </c>
      <c r="F3">
        <f>(Prices!F1257/Prices!F1256)-1</f>
        <v>8.7600541530630238E-4</v>
      </c>
      <c r="G3">
        <f t="shared" ref="G2:G65" si="2">B3*20%+C3*20%+D3*20%+E3*20%+F3*20%</f>
        <v>-4.6622727208647254E-4</v>
      </c>
      <c r="H3" s="8">
        <f>H2*(1+G3)</f>
        <v>999533.77272791357</v>
      </c>
      <c r="I3" s="8">
        <f t="shared" si="0"/>
        <v>1000000</v>
      </c>
      <c r="J3" s="13">
        <f t="shared" si="1"/>
        <v>-4.6622727208642755E-4</v>
      </c>
    </row>
    <row r="4" spans="1:10" x14ac:dyDescent="0.25">
      <c r="A4" s="5">
        <v>44461</v>
      </c>
      <c r="B4">
        <f>(Prices!B1256/Prices!B1255)-1</f>
        <v>-8.9234312032240304E-3</v>
      </c>
      <c r="C4">
        <f>(Prices!C1256/Prices!C1255)-1</f>
        <v>-1.266750418760465E-2</v>
      </c>
      <c r="D4">
        <f>(Prices!D1256/Prices!D1255)-1</f>
        <v>-2.8275415497517664E-2</v>
      </c>
      <c r="E4">
        <f>(Prices!E1256/Prices!E1255)-1</f>
        <v>-1.8825410670155529E-2</v>
      </c>
      <c r="F4">
        <f>(Prices!F1256/Prices!F1255)-1</f>
        <v>8.8915075390343379E-3</v>
      </c>
      <c r="G4">
        <f t="shared" si="2"/>
        <v>-1.1960050803893509E-2</v>
      </c>
      <c r="H4" s="8">
        <f t="shared" ref="H4:H67" si="3">H3*(1+G4)</f>
        <v>987579.29802588036</v>
      </c>
      <c r="I4" s="8">
        <f t="shared" si="0"/>
        <v>1000000</v>
      </c>
      <c r="J4" s="13">
        <f t="shared" si="1"/>
        <v>-1.2420701974119642E-2</v>
      </c>
    </row>
    <row r="5" spans="1:10" x14ac:dyDescent="0.25">
      <c r="A5" s="6">
        <v>44462</v>
      </c>
      <c r="B5">
        <f>(Prices!B1255/Prices!B1254)-1</f>
        <v>-6.5770660566198957E-3</v>
      </c>
      <c r="C5">
        <f>(Prices!C1255/Prices!C1254)-1</f>
        <v>-3.2695652173913015E-3</v>
      </c>
      <c r="D5">
        <f>(Prices!D1255/Prices!D1254)-1</f>
        <v>-3.2776617954070941E-2</v>
      </c>
      <c r="E5">
        <f>(Prices!E1255/Prices!E1254)-1</f>
        <v>-3.2693524572874777E-2</v>
      </c>
      <c r="F5">
        <f>(Prices!F1255/Prices!F1254)-1</f>
        <v>1.6632239718861186E-3</v>
      </c>
      <c r="G5">
        <f t="shared" si="2"/>
        <v>-1.4730709965814159E-2</v>
      </c>
      <c r="H5" s="8">
        <f t="shared" si="3"/>
        <v>973031.55381841876</v>
      </c>
      <c r="I5" s="8">
        <f t="shared" si="0"/>
        <v>1000000</v>
      </c>
      <c r="J5" s="13">
        <f t="shared" si="1"/>
        <v>-2.696844618158124E-2</v>
      </c>
    </row>
    <row r="6" spans="1:10" x14ac:dyDescent="0.25">
      <c r="A6" s="5">
        <v>44463</v>
      </c>
      <c r="B6">
        <f>(Prices!B1254/Prices!B1253)-1</f>
        <v>-7.0277560871726541E-3</v>
      </c>
      <c r="C6">
        <f>(Prices!C1254/Prices!C1253)-1</f>
        <v>7.3096870757760612E-4</v>
      </c>
      <c r="D6">
        <f>(Prices!D1254/Prices!D1253)-1</f>
        <v>-8.8971653217463365E-3</v>
      </c>
      <c r="E6">
        <f>(Prices!E1254/Prices!E1253)-1</f>
        <v>-1.139917981511096E-2</v>
      </c>
      <c r="F6">
        <f>(Prices!F1254/Prices!F1253)-1</f>
        <v>2.3123874055550608E-3</v>
      </c>
      <c r="G6">
        <f t="shared" si="2"/>
        <v>-4.8561490221794568E-3</v>
      </c>
      <c r="H6" s="8">
        <f t="shared" si="3"/>
        <v>968306.36758979363</v>
      </c>
      <c r="I6" s="8">
        <f t="shared" si="0"/>
        <v>1000000</v>
      </c>
      <c r="J6" s="13">
        <f t="shared" si="1"/>
        <v>-3.1693632410206368E-2</v>
      </c>
    </row>
    <row r="7" spans="1:10" x14ac:dyDescent="0.25">
      <c r="A7" s="6">
        <v>44466</v>
      </c>
      <c r="B7">
        <f>(Prices!B1253/Prices!B1252)-1</f>
        <v>8.0864462573351226E-3</v>
      </c>
      <c r="C7">
        <f>(Prices!C1253/Prices!C1252)-1</f>
        <v>1.7604137149334287E-2</v>
      </c>
      <c r="D7">
        <f>(Prices!D1253/Prices!D1252)-1</f>
        <v>-2.8933092224231571E-2</v>
      </c>
      <c r="E7">
        <f>(Prices!E1253/Prices!E1252)-1</f>
        <v>-2.3550970544319205E-2</v>
      </c>
      <c r="F7">
        <f>(Prices!F1253/Prices!F1252)-1</f>
        <v>4.4834571235652376E-3</v>
      </c>
      <c r="G7">
        <f t="shared" si="2"/>
        <v>-4.4620044476632263E-3</v>
      </c>
      <c r="H7" s="8">
        <f t="shared" si="3"/>
        <v>963985.78027090733</v>
      </c>
      <c r="I7" s="8">
        <f t="shared" si="0"/>
        <v>1000000</v>
      </c>
      <c r="J7" s="13">
        <f t="shared" si="1"/>
        <v>-3.6014219729092668E-2</v>
      </c>
    </row>
    <row r="8" spans="1:10" x14ac:dyDescent="0.25">
      <c r="A8" s="5">
        <v>44467</v>
      </c>
      <c r="B8">
        <f>(Prices!B1252/Prices!B1251)-1</f>
        <v>3.8573021181716793E-2</v>
      </c>
      <c r="C8">
        <f>(Prices!C1252/Prices!C1251)-1</f>
        <v>3.7559720690922394E-2</v>
      </c>
      <c r="D8">
        <f>(Prices!D1252/Prices!D1251)-1</f>
        <v>-1.0340027838536381E-2</v>
      </c>
      <c r="E8">
        <f>(Prices!E1252/Prices!E1251)-1</f>
        <v>5.3906516547252981E-3</v>
      </c>
      <c r="F8">
        <f>(Prices!F1252/Prices!F1251)-1</f>
        <v>1.666758196496243E-2</v>
      </c>
      <c r="G8">
        <f t="shared" si="2"/>
        <v>1.7570189530758108E-2</v>
      </c>
      <c r="H8" s="8">
        <f t="shared" si="3"/>
        <v>980923.19313522289</v>
      </c>
      <c r="I8" s="8">
        <f t="shared" si="0"/>
        <v>1000000</v>
      </c>
      <c r="J8" s="13">
        <f t="shared" si="1"/>
        <v>-1.9076806864777113E-2</v>
      </c>
    </row>
    <row r="9" spans="1:10" x14ac:dyDescent="0.25">
      <c r="A9" s="6">
        <v>44468</v>
      </c>
      <c r="B9">
        <f>(Prices!B1251/Prices!B1250)-1</f>
        <v>1.0970020287023985E-2</v>
      </c>
      <c r="C9">
        <f>(Prices!C1251/Prices!C1250)-1</f>
        <v>-1.6877017904314284E-3</v>
      </c>
      <c r="D9">
        <f>(Prices!D1251/Prices!D1250)-1</f>
        <v>7.9601990049749105E-4</v>
      </c>
      <c r="E9">
        <f>(Prices!E1251/Prices!E1250)-1</f>
        <v>7.5116088500415401E-4</v>
      </c>
      <c r="F9">
        <f>(Prices!F1251/Prices!F1250)-1</f>
        <v>-4.4558650665645905E-3</v>
      </c>
      <c r="G9">
        <f t="shared" si="2"/>
        <v>1.274726843105922E-3</v>
      </c>
      <c r="H9" s="8">
        <f t="shared" si="3"/>
        <v>982173.60226053756</v>
      </c>
      <c r="I9" s="8">
        <f t="shared" si="0"/>
        <v>1000000</v>
      </c>
      <c r="J9" s="13">
        <f t="shared" si="1"/>
        <v>-1.7826397739462436E-2</v>
      </c>
    </row>
    <row r="10" spans="1:10" x14ac:dyDescent="0.25">
      <c r="A10" s="5">
        <v>44469</v>
      </c>
      <c r="B10">
        <f>(Prices!B1250/Prices!B1249)-1</f>
        <v>5.0596586618336659E-3</v>
      </c>
      <c r="C10">
        <f>(Prices!C1250/Prices!C1249)-1</f>
        <v>7.3548434785823957E-3</v>
      </c>
      <c r="D10">
        <f>(Prices!D1250/Prices!D1249)-1</f>
        <v>1.8030794165316166E-2</v>
      </c>
      <c r="E10">
        <f>(Prices!E1250/Prices!E1249)-1</f>
        <v>1.3846579894766009E-2</v>
      </c>
      <c r="F10">
        <f>(Prices!F1250/Prices!F1249)-1</f>
        <v>2.4735279287354972E-2</v>
      </c>
      <c r="G10">
        <f t="shared" si="2"/>
        <v>1.3805431097570642E-2</v>
      </c>
      <c r="H10" s="8">
        <f t="shared" si="3"/>
        <v>995732.93225239811</v>
      </c>
      <c r="I10" s="8">
        <f t="shared" si="0"/>
        <v>1000000</v>
      </c>
      <c r="J10" s="13">
        <f t="shared" si="1"/>
        <v>-4.2670677476018904E-3</v>
      </c>
    </row>
    <row r="11" spans="1:10" x14ac:dyDescent="0.25">
      <c r="A11" s="6">
        <v>44470</v>
      </c>
      <c r="B11">
        <f>(Prices!B1249/Prices!B1248)-1</f>
        <v>-2.0996599142392491E-2</v>
      </c>
      <c r="C11">
        <f>(Prices!C1249/Prices!C1248)-1</f>
        <v>-2.4832408275066609E-2</v>
      </c>
      <c r="D11">
        <f>(Prices!D1249/Prices!D1248)-1</f>
        <v>-3.4617641306473712E-2</v>
      </c>
      <c r="E11">
        <f>(Prices!E1249/Prices!E1248)-1</f>
        <v>-2.0612964469758577E-2</v>
      </c>
      <c r="F11">
        <f>(Prices!F1249/Prices!F1248)-1</f>
        <v>-4.2954367957156459E-3</v>
      </c>
      <c r="G11">
        <f t="shared" si="2"/>
        <v>-2.1071009997881411E-2</v>
      </c>
      <c r="H11" s="8">
        <f t="shared" si="3"/>
        <v>974751.83368168806</v>
      </c>
      <c r="I11" s="8">
        <f t="shared" si="0"/>
        <v>1000000</v>
      </c>
      <c r="J11" s="13">
        <f t="shared" si="1"/>
        <v>-2.5248166318311938E-2</v>
      </c>
    </row>
    <row r="12" spans="1:10" x14ac:dyDescent="0.25">
      <c r="A12" s="5">
        <v>44473</v>
      </c>
      <c r="B12">
        <f>(Prices!B1248/Prices!B1247)-1</f>
        <v>2.1601208459214316E-2</v>
      </c>
      <c r="C12">
        <f>(Prices!C1248/Prices!C1247)-1</f>
        <v>2.1162268595193323E-2</v>
      </c>
      <c r="D12">
        <f>(Prices!D1248/Prices!D1247)-1</f>
        <v>-1.2934362934362786E-2</v>
      </c>
      <c r="E12">
        <f>(Prices!E1248/Prices!E1247)-1</f>
        <v>1.0860711376594612E-3</v>
      </c>
      <c r="F12">
        <f>(Prices!F1248/Prices!F1247)-1</f>
        <v>1.40000565658851E-2</v>
      </c>
      <c r="G12">
        <f t="shared" si="2"/>
        <v>8.9830483647178831E-3</v>
      </c>
      <c r="H12" s="8">
        <f t="shared" si="3"/>
        <v>983508.07654724817</v>
      </c>
      <c r="I12" s="8">
        <f t="shared" si="0"/>
        <v>1000000</v>
      </c>
      <c r="J12" s="13">
        <f t="shared" si="1"/>
        <v>-1.6491923452751828E-2</v>
      </c>
    </row>
    <row r="13" spans="1:10" x14ac:dyDescent="0.25">
      <c r="A13" s="6">
        <v>44474</v>
      </c>
      <c r="B13">
        <f>(Prices!B1247/Prices!B1246)-1</f>
        <v>-1.7366780466082865E-2</v>
      </c>
      <c r="C13">
        <f>(Prices!C1247/Prices!C1246)-1</f>
        <v>-1.9557608342655075E-2</v>
      </c>
      <c r="D13">
        <f>(Prices!D1247/Prices!D1246)-1</f>
        <v>1.7404757300327756E-3</v>
      </c>
      <c r="E13">
        <f>(Prices!E1247/Prices!E1246)-1</f>
        <v>-1.6029922522041162E-2</v>
      </c>
      <c r="F13">
        <f>(Prices!F1247/Prices!F1246)-1</f>
        <v>-1.633095926997552E-2</v>
      </c>
      <c r="G13">
        <f t="shared" si="2"/>
        <v>-1.3508958974144369E-2</v>
      </c>
      <c r="H13" s="8">
        <f t="shared" si="3"/>
        <v>970221.90629043174</v>
      </c>
      <c r="I13" s="8">
        <f t="shared" si="0"/>
        <v>1000000</v>
      </c>
      <c r="J13" s="13">
        <f t="shared" si="1"/>
        <v>-2.977809370956826E-2</v>
      </c>
    </row>
    <row r="14" spans="1:10" x14ac:dyDescent="0.25">
      <c r="A14" s="5">
        <v>44475</v>
      </c>
      <c r="B14">
        <f>(Prices!B1246/Prices!B1245)-1</f>
        <v>-1.1227709693989896E-2</v>
      </c>
      <c r="C14">
        <f>(Prices!C1246/Prices!C1245)-1</f>
        <v>-1.4859052291066766E-2</v>
      </c>
      <c r="D14">
        <f>(Prices!D1246/Prices!D1245)-1</f>
        <v>1.8715524034673026E-2</v>
      </c>
      <c r="E14">
        <f>(Prices!E1246/Prices!E1245)-1</f>
        <v>-2.1327645961076724E-3</v>
      </c>
      <c r="F14">
        <f>(Prices!F1246/Prices!F1245)-1</f>
        <v>-2.0822343763013951E-3</v>
      </c>
      <c r="G14">
        <f t="shared" si="2"/>
        <v>-2.317247384558541E-3</v>
      </c>
      <c r="H14" s="8">
        <f t="shared" si="3"/>
        <v>967973.66211563884</v>
      </c>
      <c r="I14" s="8">
        <f t="shared" si="0"/>
        <v>1000000</v>
      </c>
      <c r="J14" s="13">
        <f t="shared" si="1"/>
        <v>-3.2026337884361156E-2</v>
      </c>
    </row>
    <row r="15" spans="1:10" x14ac:dyDescent="0.25">
      <c r="A15" s="6">
        <v>44476</v>
      </c>
      <c r="B15">
        <f>(Prices!B1245/Prices!B1244)-1</f>
        <v>-1.1891813501558879E-2</v>
      </c>
      <c r="C15">
        <f>(Prices!C1245/Prices!C1244)-1</f>
        <v>-5.9014771361933782E-3</v>
      </c>
      <c r="D15">
        <f>(Prices!D1245/Prices!D1244)-1</f>
        <v>-2.9463759575721893E-3</v>
      </c>
      <c r="E15">
        <f>(Prices!E1245/Prices!E1244)-1</f>
        <v>-6.2918074044640004E-3</v>
      </c>
      <c r="F15">
        <f>(Prices!F1245/Prices!F1244)-1</f>
        <v>-2.5802612717388373E-2</v>
      </c>
      <c r="G15">
        <f t="shared" si="2"/>
        <v>-1.0566817343435364E-2</v>
      </c>
      <c r="H15" s="8">
        <f t="shared" si="3"/>
        <v>957745.26123480673</v>
      </c>
      <c r="I15" s="8">
        <f t="shared" si="0"/>
        <v>1000000</v>
      </c>
      <c r="J15" s="13">
        <f t="shared" si="1"/>
        <v>-4.2254738765193263E-2</v>
      </c>
    </row>
    <row r="16" spans="1:10" x14ac:dyDescent="0.25">
      <c r="A16" s="5">
        <v>44477</v>
      </c>
      <c r="B16">
        <f>(Prices!B1244/Prices!B1243)-1</f>
        <v>-4.0441972990539199E-3</v>
      </c>
      <c r="C16">
        <f>(Prices!C1244/Prices!C1243)-1</f>
        <v>0</v>
      </c>
      <c r="D16">
        <f>(Prices!D1244/Prices!D1243)-1</f>
        <v>-2.4338827136834107E-2</v>
      </c>
      <c r="E16">
        <f>(Prices!E1244/Prices!E1243)-1</f>
        <v>-7.9412348620211404E-4</v>
      </c>
      <c r="F16">
        <f>(Prices!F1244/Prices!F1243)-1</f>
        <v>-9.2183187287295798E-3</v>
      </c>
      <c r="G16">
        <f t="shared" si="2"/>
        <v>-7.6790933301639445E-3</v>
      </c>
      <c r="H16" s="8">
        <f t="shared" si="3"/>
        <v>950390.64598726248</v>
      </c>
      <c r="I16" s="8">
        <f t="shared" si="0"/>
        <v>1000000</v>
      </c>
      <c r="J16" s="13">
        <f t="shared" si="1"/>
        <v>-4.9609354012737514E-2</v>
      </c>
    </row>
    <row r="17" spans="1:10" x14ac:dyDescent="0.25">
      <c r="A17" s="6">
        <v>44480</v>
      </c>
      <c r="B17">
        <f>(Prices!B1243/Prices!B1242)-1</f>
        <v>6.322674418604679E-3</v>
      </c>
      <c r="C17">
        <f>(Prices!C1243/Prices!C1242)-1</f>
        <v>2.1247963736810149E-3</v>
      </c>
      <c r="D17">
        <f>(Prices!D1243/Prices!D1242)-1</f>
        <v>1.0065814943863716E-2</v>
      </c>
      <c r="E17">
        <f>(Prices!E1243/Prices!E1242)-1</f>
        <v>2.1496653822754119E-2</v>
      </c>
      <c r="F17">
        <f>(Prices!F1243/Prices!F1242)-1</f>
        <v>8.5675675675676022E-3</v>
      </c>
      <c r="G17">
        <f t="shared" si="2"/>
        <v>9.7155014252942283E-3</v>
      </c>
      <c r="H17" s="8">
        <f t="shared" si="3"/>
        <v>959624.16766293813</v>
      </c>
      <c r="I17" s="8">
        <f t="shared" si="0"/>
        <v>1000000</v>
      </c>
      <c r="J17" s="13">
        <f t="shared" si="1"/>
        <v>-4.0375832337061872E-2</v>
      </c>
    </row>
    <row r="18" spans="1:10" x14ac:dyDescent="0.25">
      <c r="A18" s="5">
        <v>44481</v>
      </c>
      <c r="B18">
        <f>(Prices!B1242/Prices!B1241)-1</f>
        <v>1.8052678307191483E-2</v>
      </c>
      <c r="C18">
        <f>(Prices!C1242/Prices!C1241)-1</f>
        <v>4.6250177885300836E-3</v>
      </c>
      <c r="D18">
        <f>(Prices!D1242/Prices!D1241)-1</f>
        <v>5.2539404553413327E-3</v>
      </c>
      <c r="E18">
        <f>(Prices!E1242/Prices!E1241)-1</f>
        <v>7.7661966073985234E-3</v>
      </c>
      <c r="F18">
        <f>(Prices!F1242/Prices!F1241)-1</f>
        <v>4.3431053203040193E-3</v>
      </c>
      <c r="G18">
        <f t="shared" si="2"/>
        <v>8.0081876957530888E-3</v>
      </c>
      <c r="H18" s="8">
        <f t="shared" si="3"/>
        <v>967309.0181149639</v>
      </c>
      <c r="I18" s="8">
        <f t="shared" si="0"/>
        <v>1000000</v>
      </c>
      <c r="J18" s="13">
        <f t="shared" si="1"/>
        <v>-3.2690981885036108E-2</v>
      </c>
    </row>
    <row r="19" spans="1:10" x14ac:dyDescent="0.25">
      <c r="A19" s="6">
        <v>44482</v>
      </c>
      <c r="B19">
        <f>(Prices!B1241/Prices!B1240)-1</f>
        <v>-8.2911438843641383E-3</v>
      </c>
      <c r="C19">
        <f>(Prices!C1241/Prices!C1240)-1</f>
        <v>-1.1604191574653644E-2</v>
      </c>
      <c r="D19">
        <f>(Prices!D1241/Prices!D1240)-1</f>
        <v>2.7317073170731732E-3</v>
      </c>
      <c r="E19">
        <f>(Prices!E1241/Prices!E1240)-1</f>
        <v>2.7078085642317395E-2</v>
      </c>
      <c r="F19">
        <f>(Prices!F1241/Prices!F1240)-1</f>
        <v>-7.5946620375400009E-4</v>
      </c>
      <c r="G19">
        <f t="shared" si="2"/>
        <v>1.8309982593237568E-3</v>
      </c>
      <c r="H19" s="8">
        <f t="shared" si="3"/>
        <v>969080.15924336051</v>
      </c>
      <c r="I19" s="8">
        <f t="shared" si="0"/>
        <v>1000000</v>
      </c>
      <c r="J19" s="13">
        <f t="shared" si="1"/>
        <v>-3.0919840756639488E-2</v>
      </c>
    </row>
    <row r="20" spans="1:10" x14ac:dyDescent="0.25">
      <c r="A20" s="5">
        <v>44483</v>
      </c>
      <c r="B20">
        <f>(Prices!B1240/Prices!B1239)-1</f>
        <v>-2.5246745816049243E-2</v>
      </c>
      <c r="C20">
        <f>(Prices!C1240/Prices!C1239)-1</f>
        <v>-2.1269273127753285E-2</v>
      </c>
      <c r="D20">
        <f>(Prices!D1240/Prices!D1239)-1</f>
        <v>-1.4991351143571086E-2</v>
      </c>
      <c r="E20">
        <f>(Prices!E1240/Prices!E1239)-1</f>
        <v>-1.5159867695700213E-2</v>
      </c>
      <c r="F20">
        <f>(Prices!F1240/Prices!F1239)-1</f>
        <v>-3.9995833767315969E-2</v>
      </c>
      <c r="G20">
        <f t="shared" si="2"/>
        <v>-2.3332614310077958E-2</v>
      </c>
      <c r="H20" s="8">
        <f t="shared" si="3"/>
        <v>946468.98565218633</v>
      </c>
      <c r="I20" s="8">
        <f t="shared" si="0"/>
        <v>1000000</v>
      </c>
      <c r="J20" s="13">
        <f t="shared" si="1"/>
        <v>-5.3531014347813675E-2</v>
      </c>
    </row>
    <row r="21" spans="1:10" x14ac:dyDescent="0.25">
      <c r="A21" s="6">
        <v>44484</v>
      </c>
      <c r="B21">
        <f>(Prices!B1239/Prices!B1238)-1</f>
        <v>-1.5709797200800235E-3</v>
      </c>
      <c r="C21">
        <f>(Prices!C1239/Prices!C1238)-1</f>
        <v>-4.7951774215645449E-3</v>
      </c>
      <c r="D21">
        <f>(Prices!D1239/Prices!D1238)-1</f>
        <v>-9.5183704549780535E-3</v>
      </c>
      <c r="E21">
        <f>(Prices!E1239/Prices!E1238)-1</f>
        <v>-1.8796484110885747E-2</v>
      </c>
      <c r="F21">
        <f>(Prices!F1239/Prices!F1238)-1</f>
        <v>-1.8001431932085366E-2</v>
      </c>
      <c r="G21">
        <f t="shared" si="2"/>
        <v>-1.0536488727918746E-2</v>
      </c>
      <c r="H21" s="8">
        <f t="shared" si="3"/>
        <v>936496.52585353737</v>
      </c>
      <c r="I21" s="8">
        <f t="shared" si="0"/>
        <v>1000000</v>
      </c>
      <c r="J21" s="13">
        <f t="shared" si="1"/>
        <v>-6.3503474146462624E-2</v>
      </c>
    </row>
    <row r="22" spans="1:10" x14ac:dyDescent="0.25">
      <c r="A22" s="5">
        <v>44487</v>
      </c>
      <c r="B22">
        <f>(Prices!B1238/Prices!B1237)-1</f>
        <v>-9.8281835537016304E-3</v>
      </c>
      <c r="C22">
        <f>(Prices!C1238/Prices!C1237)-1</f>
        <v>-1.0003051778508798E-2</v>
      </c>
      <c r="D22">
        <f>(Prices!D1238/Prices!D1237)-1</f>
        <v>5.714285714286671E-4</v>
      </c>
      <c r="E22">
        <f>(Prices!E1238/Prices!E1237)-1</f>
        <v>3.3818058843437804E-4</v>
      </c>
      <c r="F22">
        <f>(Prices!F1238/Prices!F1237)-1</f>
        <v>8.1200216533909853E-3</v>
      </c>
      <c r="G22">
        <f t="shared" si="2"/>
        <v>-2.1603209037912791E-3</v>
      </c>
      <c r="H22" s="8">
        <f t="shared" si="3"/>
        <v>934473.39283240808</v>
      </c>
      <c r="I22" s="8">
        <f t="shared" si="0"/>
        <v>1000000</v>
      </c>
      <c r="J22" s="13">
        <f t="shared" si="1"/>
        <v>-6.5526607167591927E-2</v>
      </c>
    </row>
    <row r="23" spans="1:10" x14ac:dyDescent="0.25">
      <c r="A23" s="6">
        <v>44488</v>
      </c>
      <c r="B23">
        <f>(Prices!B1237/Prices!B1236)-1</f>
        <v>-3.2419479878778024E-3</v>
      </c>
      <c r="C23">
        <f>(Prices!C1237/Prices!C1236)-1</f>
        <v>-3.0761949834358093E-3</v>
      </c>
      <c r="D23">
        <f>(Prices!D1237/Prices!D1236)-1</f>
        <v>-1.4824544942765971E-2</v>
      </c>
      <c r="E23">
        <f>(Prices!E1237/Prices!E1236)-1</f>
        <v>-1.1962042234696546E-2</v>
      </c>
      <c r="F23">
        <f>(Prices!F1237/Prices!F1236)-1</f>
        <v>5.6743442263562649E-4</v>
      </c>
      <c r="G23">
        <f t="shared" si="2"/>
        <v>-6.5074591452281014E-3</v>
      </c>
      <c r="H23" s="8">
        <f t="shared" si="3"/>
        <v>928392.34540624847</v>
      </c>
      <c r="I23" s="8">
        <f t="shared" si="0"/>
        <v>1000000</v>
      </c>
      <c r="J23" s="13">
        <f t="shared" si="1"/>
        <v>-7.1607654593751527E-2</v>
      </c>
    </row>
    <row r="24" spans="1:10" x14ac:dyDescent="0.25">
      <c r="A24" s="5">
        <v>44489</v>
      </c>
      <c r="B24">
        <f>(Prices!B1236/Prices!B1235)-1</f>
        <v>1.0396638894822896E-2</v>
      </c>
      <c r="C24">
        <f>(Prices!C1236/Prices!C1235)-1</f>
        <v>2.6776937938515211E-3</v>
      </c>
      <c r="D24">
        <f>(Prices!D1236/Prices!D1235)-1</f>
        <v>-5.4124673385591571E-3</v>
      </c>
      <c r="E24">
        <f>(Prices!E1236/Prices!E1235)-1</f>
        <v>-1.3319266780957517E-2</v>
      </c>
      <c r="F24">
        <f>(Prices!F1236/Prices!F1235)-1</f>
        <v>-2.4628930817610084E-2</v>
      </c>
      <c r="G24">
        <f t="shared" si="2"/>
        <v>-6.0572664496904684E-3</v>
      </c>
      <c r="H24" s="8">
        <f t="shared" si="3"/>
        <v>922768.82560026972</v>
      </c>
      <c r="I24" s="8">
        <f t="shared" si="0"/>
        <v>1000000</v>
      </c>
      <c r="J24" s="13">
        <f t="shared" si="1"/>
        <v>-7.723117439973029E-2</v>
      </c>
    </row>
    <row r="25" spans="1:10" x14ac:dyDescent="0.25">
      <c r="A25" s="6">
        <v>44490</v>
      </c>
      <c r="B25">
        <f>(Prices!B1235/Prices!B1234)-1</f>
        <v>-8.5378868729990565E-4</v>
      </c>
      <c r="C25">
        <f>(Prices!C1235/Prices!C1234)-1</f>
        <v>-1.0763143776824191E-2</v>
      </c>
      <c r="D25">
        <f>(Prices!D1235/Prices!D1234)-1</f>
        <v>1.8437559399353765E-2</v>
      </c>
      <c r="E25">
        <f>(Prices!E1235/Prices!E1234)-1</f>
        <v>7.9085531999734116E-3</v>
      </c>
      <c r="F25">
        <f>(Prices!F1235/Prices!F1234)-1</f>
        <v>-1.6259558987304135E-2</v>
      </c>
      <c r="G25">
        <f t="shared" si="2"/>
        <v>-3.0607577042021097E-4</v>
      </c>
      <c r="H25" s="8">
        <f t="shared" si="3"/>
        <v>922486.38842105435</v>
      </c>
      <c r="I25" s="8">
        <f t="shared" si="0"/>
        <v>1000000</v>
      </c>
      <c r="J25" s="13">
        <f t="shared" si="1"/>
        <v>-7.7513611578945651E-2</v>
      </c>
    </row>
    <row r="26" spans="1:10" x14ac:dyDescent="0.25">
      <c r="A26" s="5">
        <v>44491</v>
      </c>
      <c r="B26">
        <f>(Prices!B1234/Prices!B1233)-1</f>
        <v>3.1408233653775541E-2</v>
      </c>
      <c r="C26">
        <f>(Prices!C1234/Prices!C1233)-1</f>
        <v>5.1565501668295877E-3</v>
      </c>
      <c r="D26">
        <f>(Prices!D1234/Prices!D1233)-1</f>
        <v>-6.7962997923353141E-3</v>
      </c>
      <c r="E26">
        <f>(Prices!E1234/Prices!E1233)-1</f>
        <v>-1.3246770280018416E-2</v>
      </c>
      <c r="F26">
        <f>(Prices!F1234/Prices!F1233)-1</f>
        <v>-1.5304008772998756E-2</v>
      </c>
      <c r="G26">
        <f t="shared" si="2"/>
        <v>2.4354099505052851E-4</v>
      </c>
      <c r="H26" s="8">
        <f t="shared" si="3"/>
        <v>922711.05167401093</v>
      </c>
      <c r="I26" s="8">
        <f t="shared" si="0"/>
        <v>1000000</v>
      </c>
      <c r="J26" s="13">
        <f t="shared" si="1"/>
        <v>-7.7288948325989065E-2</v>
      </c>
    </row>
    <row r="27" spans="1:10" x14ac:dyDescent="0.25">
      <c r="A27" s="6">
        <v>44494</v>
      </c>
      <c r="B27">
        <f>(Prices!B1233/Prices!B1232)-1</f>
        <v>8.8138082996702671E-4</v>
      </c>
      <c r="C27">
        <f>(Prices!C1233/Prices!C1232)-1</f>
        <v>3.3477613959149721E-3</v>
      </c>
      <c r="D27">
        <f>(Prices!D1233/Prices!D1232)-1</f>
        <v>-1.9074074074074132E-2</v>
      </c>
      <c r="E27">
        <f>(Prices!E1233/Prices!E1232)-1</f>
        <v>4.876441515650809E-3</v>
      </c>
      <c r="F27">
        <f>(Prices!F1233/Prices!F1232)-1</f>
        <v>-7.3054912942882577E-4</v>
      </c>
      <c r="G27">
        <f t="shared" si="2"/>
        <v>-2.1398078923940298E-3</v>
      </c>
      <c r="H27" s="8">
        <f t="shared" si="3"/>
        <v>920736.62728323974</v>
      </c>
      <c r="I27" s="8">
        <f t="shared" si="0"/>
        <v>1000000</v>
      </c>
      <c r="J27" s="13">
        <f t="shared" si="1"/>
        <v>-7.9263372716760261E-2</v>
      </c>
    </row>
    <row r="28" spans="1:10" x14ac:dyDescent="0.25">
      <c r="A28" s="5">
        <v>44495</v>
      </c>
      <c r="B28">
        <f>(Prices!B1232/Prices!B1231)-1</f>
        <v>-1.3405797101449179E-2</v>
      </c>
      <c r="C28">
        <f>(Prices!C1232/Prices!C1231)-1</f>
        <v>-6.3839795712652414E-3</v>
      </c>
      <c r="D28">
        <f>(Prices!D1232/Prices!D1231)-1</f>
        <v>-2.2624434389140302E-2</v>
      </c>
      <c r="E28">
        <f>(Prices!E1232/Prices!E1231)-1</f>
        <v>-2.6945320715036081E-3</v>
      </c>
      <c r="F28">
        <f>(Prices!F1232/Prices!F1231)-1</f>
        <v>-1.1339560862866027E-2</v>
      </c>
      <c r="G28">
        <f t="shared" si="2"/>
        <v>-1.1289660799244872E-2</v>
      </c>
      <c r="H28" s="8">
        <f t="shared" si="3"/>
        <v>910341.82307577122</v>
      </c>
      <c r="I28" s="8">
        <f t="shared" si="0"/>
        <v>1000000</v>
      </c>
      <c r="J28" s="13">
        <f t="shared" si="1"/>
        <v>-8.9658176924228783E-2</v>
      </c>
    </row>
    <row r="29" spans="1:10" x14ac:dyDescent="0.25">
      <c r="A29" s="6">
        <v>44496</v>
      </c>
      <c r="B29">
        <f>(Prices!B1231/Prices!B1230)-1</f>
        <v>-4.7224523612261815E-2</v>
      </c>
      <c r="C29">
        <f>(Prices!C1231/Prices!C1230)-1</f>
        <v>-4.0430745421717873E-2</v>
      </c>
      <c r="D29">
        <f>(Prices!D1231/Prices!D1230)-1</f>
        <v>2.657004830917864E-2</v>
      </c>
      <c r="E29">
        <f>(Prices!E1231/Prices!E1230)-1</f>
        <v>2.1276595744680771E-2</v>
      </c>
      <c r="F29">
        <f>(Prices!F1231/Prices!F1230)-1</f>
        <v>2.5585324643977447E-3</v>
      </c>
      <c r="G29">
        <f t="shared" si="2"/>
        <v>-7.4500185031445097E-3</v>
      </c>
      <c r="H29" s="8">
        <f t="shared" si="3"/>
        <v>903559.75964967045</v>
      </c>
      <c r="I29" s="8">
        <f t="shared" si="0"/>
        <v>1000000</v>
      </c>
      <c r="J29" s="13">
        <f t="shared" si="1"/>
        <v>-9.6440240350329554E-2</v>
      </c>
    </row>
    <row r="30" spans="1:10" x14ac:dyDescent="0.25">
      <c r="A30" s="5">
        <v>44497</v>
      </c>
      <c r="B30">
        <f>(Prices!B1230/Prices!B1229)-1</f>
        <v>2.5610853464388406E-3</v>
      </c>
      <c r="C30">
        <f>(Prices!C1230/Prices!C1229)-1</f>
        <v>-3.6300555751871411E-3</v>
      </c>
      <c r="D30">
        <f>(Prices!D1230/Prices!D1229)-1</f>
        <v>-2.7793218454696955E-3</v>
      </c>
      <c r="E30">
        <f>(Prices!E1230/Prices!E1229)-1</f>
        <v>-1.4811875950538789E-2</v>
      </c>
      <c r="F30">
        <f>(Prices!F1230/Prices!F1229)-1</f>
        <v>-4.3019539042032928E-3</v>
      </c>
      <c r="G30">
        <f t="shared" si="2"/>
        <v>-4.5924243857920159E-3</v>
      </c>
      <c r="H30" s="8">
        <f t="shared" si="3"/>
        <v>899410.22977543494</v>
      </c>
      <c r="I30" s="8">
        <f t="shared" si="0"/>
        <v>1000000</v>
      </c>
      <c r="J30" s="13">
        <f t="shared" si="1"/>
        <v>-0.10058977022456506</v>
      </c>
    </row>
    <row r="31" spans="1:10" x14ac:dyDescent="0.25">
      <c r="A31" s="6">
        <v>44498</v>
      </c>
      <c r="B31">
        <f>(Prices!B1229/Prices!B1228)-1</f>
        <v>-1.48653256051825E-2</v>
      </c>
      <c r="C31">
        <f>(Prices!C1229/Prices!C1228)-1</f>
        <v>-2.1900333061019239E-2</v>
      </c>
      <c r="D31">
        <f>(Prices!D1229/Prices!D1228)-1</f>
        <v>-2.4029574861368364E-3</v>
      </c>
      <c r="E31">
        <f>(Prices!E1229/Prices!E1228)-1</f>
        <v>2.7184723511470832E-3</v>
      </c>
      <c r="F31">
        <f>(Prices!F1229/Prices!F1228)-1</f>
        <v>-1.0910906151944566E-2</v>
      </c>
      <c r="G31">
        <f t="shared" si="2"/>
        <v>-9.472209990627211E-3</v>
      </c>
      <c r="H31" s="8">
        <f t="shared" si="3"/>
        <v>890890.82721128373</v>
      </c>
      <c r="I31" s="8">
        <f t="shared" si="0"/>
        <v>1000000</v>
      </c>
      <c r="J31" s="13">
        <f t="shared" si="1"/>
        <v>-0.10910917278871628</v>
      </c>
    </row>
    <row r="32" spans="1:10" x14ac:dyDescent="0.25">
      <c r="A32" s="5">
        <v>44501</v>
      </c>
      <c r="B32">
        <f>(Prices!B1228/Prices!B1227)-1</f>
        <v>3.1729280990572706E-2</v>
      </c>
      <c r="C32">
        <f>(Prices!C1228/Prices!C1227)-1</f>
        <v>6.8014298820029406E-3</v>
      </c>
      <c r="D32">
        <f>(Prices!D1228/Prices!D1227)-1</f>
        <v>-1.7792302106027558E-2</v>
      </c>
      <c r="E32">
        <f>(Prices!E1228/Prices!E1227)-1</f>
        <v>5.3071513864932918E-4</v>
      </c>
      <c r="F32">
        <f>(Prices!F1228/Prices!F1227)-1</f>
        <v>1.4004386916383504E-2</v>
      </c>
      <c r="G32">
        <f t="shared" si="2"/>
        <v>7.0547021643161852E-3</v>
      </c>
      <c r="H32" s="8">
        <f t="shared" si="3"/>
        <v>897175.79665818054</v>
      </c>
      <c r="I32" s="8">
        <f t="shared" si="0"/>
        <v>1000000</v>
      </c>
      <c r="J32" s="13">
        <f t="shared" si="1"/>
        <v>-0.10282420334181946</v>
      </c>
    </row>
    <row r="33" spans="1:10" x14ac:dyDescent="0.25">
      <c r="A33" s="6">
        <v>44502</v>
      </c>
      <c r="B33">
        <f>(Prices!B1227/Prices!B1226)-1</f>
        <v>-1.3327780091628605E-2</v>
      </c>
      <c r="C33">
        <f>(Prices!C1227/Prices!C1226)-1</f>
        <v>-1.1260204560382792E-2</v>
      </c>
      <c r="D33">
        <f>(Prices!D1227/Prices!D1226)-1</f>
        <v>1.2499999999999956E-2</v>
      </c>
      <c r="E33">
        <f>(Prices!E1227/Prices!E1226)-1</f>
        <v>-3.8987642899623864E-3</v>
      </c>
      <c r="F33">
        <f>(Prices!F1227/Prices!F1226)-1</f>
        <v>4.5764928083684708E-3</v>
      </c>
      <c r="G33">
        <f t="shared" si="2"/>
        <v>-2.282051226721071E-3</v>
      </c>
      <c r="H33" s="8">
        <f t="shared" si="3"/>
        <v>895128.39553083223</v>
      </c>
      <c r="I33" s="8">
        <f t="shared" si="0"/>
        <v>1000000</v>
      </c>
      <c r="J33" s="13">
        <f t="shared" si="1"/>
        <v>-0.10487160446916777</v>
      </c>
    </row>
    <row r="34" spans="1:10" x14ac:dyDescent="0.25">
      <c r="A34" s="5">
        <v>44503</v>
      </c>
      <c r="B34">
        <f>(Prices!B1226/Prices!B1225)-1</f>
        <v>-7.9878804572373063E-3</v>
      </c>
      <c r="C34">
        <f>(Prices!C1226/Prices!C1225)-1</f>
        <v>-2.6204960224615048E-3</v>
      </c>
      <c r="D34">
        <f>(Prices!D1226/Prices!D1225)-1</f>
        <v>1.3979496738117492E-2</v>
      </c>
      <c r="E34">
        <f>(Prices!E1226/Prices!E1225)-1</f>
        <v>-3.3029462280342869E-4</v>
      </c>
      <c r="F34">
        <f>(Prices!F1226/Prices!F1225)-1</f>
        <v>-1.1560278595533768E-2</v>
      </c>
      <c r="G34">
        <f t="shared" si="2"/>
        <v>-1.7038905919837029E-3</v>
      </c>
      <c r="H34" s="8">
        <f t="shared" si="3"/>
        <v>893603.1946790698</v>
      </c>
      <c r="I34" s="8">
        <f t="shared" si="0"/>
        <v>1000000</v>
      </c>
      <c r="J34" s="13">
        <f t="shared" si="1"/>
        <v>-0.1063968053209302</v>
      </c>
    </row>
    <row r="35" spans="1:10" x14ac:dyDescent="0.25">
      <c r="A35" s="6">
        <v>44504</v>
      </c>
      <c r="B35">
        <f>(Prices!B1225/Prices!B1224)-1</f>
        <v>-1.1234425001702242E-2</v>
      </c>
      <c r="C35">
        <f>(Prices!C1225/Prices!C1224)-1</f>
        <v>-7.2470500789741932E-3</v>
      </c>
      <c r="D35">
        <f>(Prices!D1225/Prices!D1224)-1</f>
        <v>-7.4005550416280652E-3</v>
      </c>
      <c r="E35">
        <f>(Prices!E1225/Prices!E1224)-1</f>
        <v>1.3253012048192625E-2</v>
      </c>
      <c r="F35">
        <f>(Prices!F1225/Prices!F1224)-1</f>
        <v>1.2461357808717377E-3</v>
      </c>
      <c r="G35">
        <f t="shared" si="2"/>
        <v>-2.2765764586480273E-3</v>
      </c>
      <c r="H35" s="8">
        <f t="shared" si="3"/>
        <v>891568.83868269075</v>
      </c>
      <c r="I35" s="8">
        <f t="shared" si="0"/>
        <v>1000000</v>
      </c>
      <c r="J35" s="13">
        <f t="shared" si="1"/>
        <v>-0.10843116131730925</v>
      </c>
    </row>
    <row r="36" spans="1:10" x14ac:dyDescent="0.25">
      <c r="A36" s="5">
        <v>44505</v>
      </c>
      <c r="B36">
        <f>(Prices!B1224/Prices!B1223)-1</f>
        <v>-3.933536792132819E-3</v>
      </c>
      <c r="C36">
        <f>(Prices!C1224/Prices!C1223)-1</f>
        <v>1.1161752395125735E-3</v>
      </c>
      <c r="D36">
        <f>(Prices!D1224/Prices!D1223)-1</f>
        <v>-9.5290452629650524E-3</v>
      </c>
      <c r="E36">
        <f>(Prices!E1224/Prices!E1223)-1</f>
        <v>1.474728515886925E-3</v>
      </c>
      <c r="F36">
        <f>(Prices!F1224/Prices!F1223)-1</f>
        <v>2.0651730182743577E-3</v>
      </c>
      <c r="G36">
        <f t="shared" si="2"/>
        <v>-1.7613010562848028E-3</v>
      </c>
      <c r="H36" s="8">
        <f t="shared" si="3"/>
        <v>889998.51754536829</v>
      </c>
      <c r="I36" s="8">
        <f t="shared" si="0"/>
        <v>1000000</v>
      </c>
      <c r="J36" s="13">
        <f t="shared" si="1"/>
        <v>-0.1100014824546317</v>
      </c>
    </row>
    <row r="37" spans="1:10" x14ac:dyDescent="0.25">
      <c r="A37" s="6">
        <v>44508</v>
      </c>
      <c r="B37">
        <f>(Prices!B1223/Prices!B1222)-1</f>
        <v>-1.2192643771591349E-3</v>
      </c>
      <c r="C37">
        <f>(Prices!C1223/Prices!C1222)-1</f>
        <v>-2.7518397130666949E-3</v>
      </c>
      <c r="D37">
        <f>(Prices!D1223/Prices!D1222)-1</f>
        <v>-1.0516772438803224E-2</v>
      </c>
      <c r="E37">
        <f>(Prices!E1223/Prices!E1222)-1</f>
        <v>-5.9968017057570044E-3</v>
      </c>
      <c r="F37">
        <f>(Prices!F1223/Prices!F1222)-1</f>
        <v>-1.4716668638353192E-2</v>
      </c>
      <c r="G37">
        <f t="shared" si="2"/>
        <v>-7.0402693746278496E-3</v>
      </c>
      <c r="H37" s="8">
        <f t="shared" si="3"/>
        <v>883732.68823882937</v>
      </c>
      <c r="I37" s="8">
        <f t="shared" si="0"/>
        <v>1000000</v>
      </c>
      <c r="J37" s="13">
        <f t="shared" si="1"/>
        <v>-0.11626731176117062</v>
      </c>
    </row>
    <row r="38" spans="1:10" x14ac:dyDescent="0.25">
      <c r="A38" s="5">
        <v>44509</v>
      </c>
      <c r="B38">
        <f>(Prices!B1222/Prices!B1221)-1</f>
        <v>8.1350416920900059E-4</v>
      </c>
      <c r="C38">
        <f>(Prices!C1222/Prices!C1221)-1</f>
        <v>3.1015445691955357E-3</v>
      </c>
      <c r="D38">
        <f>(Prices!D1222/Prices!D1221)-1</f>
        <v>-9.6965343867839726E-3</v>
      </c>
      <c r="E38">
        <f>(Prices!E1222/Prices!E1221)-1</f>
        <v>7.6540888948570807E-3</v>
      </c>
      <c r="F38">
        <f>(Prices!F1222/Prices!F1221)-1</f>
        <v>-3.7243947858474069E-3</v>
      </c>
      <c r="G38">
        <f t="shared" si="2"/>
        <v>-3.7035830787395245E-4</v>
      </c>
      <c r="H38" s="8">
        <f t="shared" si="3"/>
        <v>883405.39049580041</v>
      </c>
      <c r="I38" s="8">
        <f t="shared" si="0"/>
        <v>1000000</v>
      </c>
      <c r="J38" s="13">
        <f t="shared" si="1"/>
        <v>-0.11659460950419959</v>
      </c>
    </row>
    <row r="39" spans="1:10" x14ac:dyDescent="0.25">
      <c r="A39" s="6">
        <v>44510</v>
      </c>
      <c r="B39">
        <f>(Prices!B1221/Prices!B1220)-1</f>
        <v>2.0689177968447048E-2</v>
      </c>
      <c r="C39">
        <f>(Prices!C1221/Prices!C1220)-1</f>
        <v>1.5560035277812689E-2</v>
      </c>
      <c r="D39">
        <f>(Prices!D1221/Prices!D1220)-1</f>
        <v>2.0150210661293189E-2</v>
      </c>
      <c r="E39">
        <f>(Prices!E1221/Prices!E1220)-1</f>
        <v>9.4086021505357387E-4</v>
      </c>
      <c r="F39">
        <f>(Prices!F1221/Prices!F1220)-1</f>
        <v>9.6867859862910244E-3</v>
      </c>
      <c r="G39">
        <f t="shared" si="2"/>
        <v>1.3405414021779506E-2</v>
      </c>
      <c r="H39" s="8">
        <f t="shared" si="3"/>
        <v>895247.80550446839</v>
      </c>
      <c r="I39" s="8">
        <f t="shared" si="0"/>
        <v>1000000</v>
      </c>
      <c r="J39" s="13">
        <f t="shared" si="1"/>
        <v>-0.10475219449553161</v>
      </c>
    </row>
    <row r="40" spans="1:10" x14ac:dyDescent="0.25">
      <c r="A40" s="5">
        <v>44511</v>
      </c>
      <c r="B40">
        <f>(Prices!B1220/Prices!B1219)-1</f>
        <v>9.0033935868150117E-4</v>
      </c>
      <c r="C40">
        <f>(Prices!C1220/Prices!C1219)-1</f>
        <v>-4.8896690070210358E-3</v>
      </c>
      <c r="D40">
        <f>(Prices!D1220/Prices!D1219)-1</f>
        <v>-2.0109689213894111E-3</v>
      </c>
      <c r="E40">
        <f>(Prices!E1220/Prices!E1219)-1</f>
        <v>6.720881779709309E-5</v>
      </c>
      <c r="F40">
        <f>(Prices!F1220/Prices!F1219)-1</f>
        <v>5.480173259626353E-3</v>
      </c>
      <c r="G40">
        <f t="shared" si="2"/>
        <v>-9.0583298461099785E-5</v>
      </c>
      <c r="H40" s="8">
        <f t="shared" si="3"/>
        <v>895166.71100530575</v>
      </c>
      <c r="I40" s="8">
        <f t="shared" si="0"/>
        <v>1000000</v>
      </c>
      <c r="J40" s="13">
        <f t="shared" si="1"/>
        <v>-0.10483328899469424</v>
      </c>
    </row>
    <row r="41" spans="1:10" x14ac:dyDescent="0.25">
      <c r="A41" s="6">
        <v>44512</v>
      </c>
      <c r="B41">
        <f>(Prices!B1219/Prices!B1218)-1</f>
        <v>-1.9622487778381381E-2</v>
      </c>
      <c r="C41">
        <f>(Prices!C1219/Prices!C1218)-1</f>
        <v>-1.2749102611709362E-2</v>
      </c>
      <c r="D41">
        <f>(Prices!D1219/Prices!D1218)-1</f>
        <v>7.7376565954310195E-3</v>
      </c>
      <c r="E41">
        <f>(Prices!E1219/Prices!E1218)-1</f>
        <v>4.4555458043609164E-3</v>
      </c>
      <c r="F41">
        <f>(Prices!F1219/Prices!F1218)-1</f>
        <v>-3.481744687954591E-3</v>
      </c>
      <c r="G41">
        <f t="shared" si="2"/>
        <v>-4.7320265356506795E-3</v>
      </c>
      <c r="H41" s="8">
        <f t="shared" si="3"/>
        <v>890930.75837499753</v>
      </c>
      <c r="I41" s="8">
        <f t="shared" si="0"/>
        <v>1000000</v>
      </c>
      <c r="J41" s="13">
        <f t="shared" si="1"/>
        <v>-0.10906924162500246</v>
      </c>
    </row>
    <row r="42" spans="1:10" x14ac:dyDescent="0.25">
      <c r="A42" s="5">
        <v>44515</v>
      </c>
      <c r="B42">
        <f>(Prices!B1218/Prices!B1217)-1</f>
        <v>1.5640938456307207E-3</v>
      </c>
      <c r="C42">
        <f>(Prices!C1218/Prices!C1217)-1</f>
        <v>1.9222422025175767E-3</v>
      </c>
      <c r="D42">
        <f>(Prices!D1218/Prices!D1217)-1</f>
        <v>-8.584474885844684E-3</v>
      </c>
      <c r="E42">
        <f>(Prices!E1218/Prices!E1217)-1</f>
        <v>1.8260516704990959E-3</v>
      </c>
      <c r="F42">
        <f>(Prices!F1218/Prices!F1217)-1</f>
        <v>1.8161952167051076E-2</v>
      </c>
      <c r="G42">
        <f t="shared" si="2"/>
        <v>2.977972999970757E-3</v>
      </c>
      <c r="H42" s="8">
        <f t="shared" si="3"/>
        <v>893583.92611828179</v>
      </c>
      <c r="I42" s="8">
        <f t="shared" si="0"/>
        <v>1000000</v>
      </c>
      <c r="J42" s="13">
        <f t="shared" si="1"/>
        <v>-0.10641607388171821</v>
      </c>
    </row>
    <row r="43" spans="1:10" x14ac:dyDescent="0.25">
      <c r="A43" s="6">
        <v>44516</v>
      </c>
      <c r="B43">
        <f>(Prices!B1217/Prices!B1216)-1</f>
        <v>3.8913162206446472E-3</v>
      </c>
      <c r="C43">
        <f>(Prices!C1217/Prices!C1216)-1</f>
        <v>-1.012767002209658E-2</v>
      </c>
      <c r="D43">
        <f>(Prices!D1217/Prices!D1216)-1</f>
        <v>-9.9457504520794604E-3</v>
      </c>
      <c r="E43">
        <f>(Prices!E1217/Prices!E1216)-1</f>
        <v>7.2893248858916238E-3</v>
      </c>
      <c r="F43">
        <f>(Prices!F1217/Prices!F1216)-1</f>
        <v>2.6292085595345238E-3</v>
      </c>
      <c r="G43">
        <f t="shared" si="2"/>
        <v>-1.2527141616210484E-3</v>
      </c>
      <c r="H43" s="8">
        <f t="shared" si="3"/>
        <v>892464.5208794364</v>
      </c>
      <c r="I43" s="8">
        <f t="shared" si="0"/>
        <v>1000000</v>
      </c>
      <c r="J43" s="13">
        <f t="shared" si="1"/>
        <v>-0.1075354791205636</v>
      </c>
    </row>
    <row r="44" spans="1:10" x14ac:dyDescent="0.25">
      <c r="A44" s="5">
        <v>44517</v>
      </c>
      <c r="B44">
        <f>(Prices!B1216/Prices!B1215)-1</f>
        <v>-1.1592226389363081E-3</v>
      </c>
      <c r="C44">
        <f>(Prices!C1216/Prices!C1215)-1</f>
        <v>-6.7472244372213108E-4</v>
      </c>
      <c r="D44">
        <f>(Prices!D1216/Prices!D1215)-1</f>
        <v>1.0968921389396646E-2</v>
      </c>
      <c r="E44">
        <f>(Prices!E1216/Prices!E1215)-1</f>
        <v>5.4109589041095862E-3</v>
      </c>
      <c r="F44">
        <f>(Prices!F1216/Prices!F1215)-1</f>
        <v>1.487224497756845E-3</v>
      </c>
      <c r="G44">
        <f t="shared" si="2"/>
        <v>3.2066319417209275E-3</v>
      </c>
      <c r="H44" s="8">
        <f t="shared" si="3"/>
        <v>895326.32611894107</v>
      </c>
      <c r="I44" s="8">
        <f t="shared" si="0"/>
        <v>1000000</v>
      </c>
      <c r="J44" s="13">
        <f t="shared" si="1"/>
        <v>-0.10467367388105893</v>
      </c>
    </row>
    <row r="45" spans="1:10" x14ac:dyDescent="0.25">
      <c r="A45" s="6">
        <v>44518</v>
      </c>
      <c r="B45">
        <f>(Prices!B1215/Prices!B1214)-1</f>
        <v>-1.1992184868288125E-2</v>
      </c>
      <c r="C45">
        <f>(Prices!C1215/Prices!C1214)-1</f>
        <v>-6.3084752994240212E-3</v>
      </c>
      <c r="D45">
        <f>(Prices!D1215/Prices!D1214)-1</f>
        <v>1.109057301293892E-2</v>
      </c>
      <c r="E45">
        <f>(Prices!E1215/Prices!E1214)-1</f>
        <v>8.7052646124083921E-3</v>
      </c>
      <c r="F45">
        <f>(Prices!F1215/Prices!F1214)-1</f>
        <v>-1.1445827143656828E-3</v>
      </c>
      <c r="G45">
        <f t="shared" si="2"/>
        <v>7.0118948653896494E-5</v>
      </c>
      <c r="H45" s="8">
        <f t="shared" si="3"/>
        <v>895389.10545963061</v>
      </c>
      <c r="I45" s="8">
        <f t="shared" si="0"/>
        <v>1000000</v>
      </c>
      <c r="J45" s="13">
        <f t="shared" si="1"/>
        <v>-0.1046108945403694</v>
      </c>
    </row>
    <row r="46" spans="1:10" x14ac:dyDescent="0.25">
      <c r="A46" s="5">
        <v>44519</v>
      </c>
      <c r="B46">
        <f>(Prices!B1214/Prices!B1213)-1</f>
        <v>6.1686550976138843E-3</v>
      </c>
      <c r="C46">
        <f>(Prices!C1214/Prices!C1213)-1</f>
        <v>-5.3351117039012186E-3</v>
      </c>
      <c r="D46">
        <f>(Prices!D1214/Prices!D1213)-1</f>
        <v>4.8449612403100861E-2</v>
      </c>
      <c r="E46">
        <f>(Prices!E1214/Prices!E1213)-1</f>
        <v>1.3230661533076837E-2</v>
      </c>
      <c r="F46">
        <f>(Prices!F1214/Prices!F1213)-1</f>
        <v>2.1518483506641983E-2</v>
      </c>
      <c r="G46">
        <f t="shared" si="2"/>
        <v>1.680646016730647E-2</v>
      </c>
      <c r="H46" s="8">
        <f t="shared" si="3"/>
        <v>910437.42679477797</v>
      </c>
      <c r="I46" s="8">
        <f t="shared" si="0"/>
        <v>1000000</v>
      </c>
      <c r="J46" s="13">
        <f t="shared" si="1"/>
        <v>-8.9562573205222026E-2</v>
      </c>
    </row>
    <row r="47" spans="1:10" x14ac:dyDescent="0.25">
      <c r="A47" s="6">
        <v>44522</v>
      </c>
      <c r="B47">
        <f>(Prices!B1213/Prices!B1212)-1</f>
        <v>1.794093292851251E-2</v>
      </c>
      <c r="C47">
        <f>(Prices!C1213/Prices!C1212)-1</f>
        <v>9.6406929056742641E-3</v>
      </c>
      <c r="D47">
        <f>(Prices!D1213/Prices!D1212)-1</f>
        <v>-1.3572930606002731E-2</v>
      </c>
      <c r="E47">
        <f>(Prices!E1213/Prices!E1212)-1</f>
        <v>-2.0904729266621014E-2</v>
      </c>
      <c r="F47">
        <f>(Prices!F1213/Prices!F1212)-1</f>
        <v>5.6287994396218011E-3</v>
      </c>
      <c r="G47">
        <f t="shared" si="2"/>
        <v>-2.534469197630338E-4</v>
      </c>
      <c r="H47" s="8">
        <f t="shared" si="3"/>
        <v>910206.67923331982</v>
      </c>
      <c r="I47" s="8">
        <f t="shared" si="0"/>
        <v>1000000</v>
      </c>
      <c r="J47" s="13">
        <f t="shared" si="1"/>
        <v>-8.9793320766680174E-2</v>
      </c>
    </row>
    <row r="48" spans="1:10" x14ac:dyDescent="0.25">
      <c r="A48" s="5">
        <v>44523</v>
      </c>
      <c r="B48">
        <f>(Prices!B1212/Prices!B1211)-1</f>
        <v>3.5316113842531749E-3</v>
      </c>
      <c r="C48">
        <f>(Prices!C1212/Prices!C1211)-1</f>
        <v>6.3757045615548957E-3</v>
      </c>
      <c r="D48">
        <f>(Prices!D1212/Prices!D1211)-1</f>
        <v>-2.5703110448873079E-2</v>
      </c>
      <c r="E48">
        <f>(Prices!E1212/Prices!E1211)-1</f>
        <v>-2.3361670794564415E-2</v>
      </c>
      <c r="F48">
        <f>(Prices!F1212/Prices!F1211)-1</f>
        <v>-2.1468788249694004E-2</v>
      </c>
      <c r="G48">
        <f t="shared" si="2"/>
        <v>-1.2125250709464686E-2</v>
      </c>
      <c r="H48" s="8">
        <f t="shared" si="3"/>
        <v>899170.19505018648</v>
      </c>
      <c r="I48" s="8">
        <f t="shared" si="0"/>
        <v>1000000</v>
      </c>
      <c r="J48" s="13">
        <f t="shared" si="1"/>
        <v>-0.10082980494981353</v>
      </c>
    </row>
    <row r="49" spans="1:10" x14ac:dyDescent="0.25">
      <c r="A49" s="6">
        <v>44524</v>
      </c>
      <c r="B49">
        <f>(Prices!B1211/Prices!B1210)-1</f>
        <v>-2.2799502556308804E-3</v>
      </c>
      <c r="C49">
        <f>(Prices!C1211/Prices!C1210)-1</f>
        <v>-6.771522669209995E-4</v>
      </c>
      <c r="D49">
        <f>(Prices!D1211/Prices!D1210)-1</f>
        <v>-5.5565845526950319E-3</v>
      </c>
      <c r="E49">
        <f>(Prices!E1211/Prices!E1210)-1</f>
        <v>7.9616760002696463E-3</v>
      </c>
      <c r="F49">
        <f>(Prices!F1211/Prices!F1210)-1</f>
        <v>-6.71108301317902E-3</v>
      </c>
      <c r="G49">
        <f t="shared" si="2"/>
        <v>-1.4526188176312571E-3</v>
      </c>
      <c r="H49" s="8">
        <f t="shared" si="3"/>
        <v>897864.04350460344</v>
      </c>
      <c r="I49" s="8">
        <f t="shared" si="0"/>
        <v>1000000</v>
      </c>
      <c r="J49" s="13">
        <f t="shared" si="1"/>
        <v>-0.10213595649539656</v>
      </c>
    </row>
    <row r="50" spans="1:10" x14ac:dyDescent="0.25">
      <c r="A50" s="5">
        <v>44526</v>
      </c>
      <c r="B50">
        <f>(Prices!B1210/Prices!B1209)-1</f>
        <v>2.7690996875887608E-2</v>
      </c>
      <c r="C50">
        <f>(Prices!C1210/Prices!C1209)-1</f>
        <v>2.4954255789008561E-2</v>
      </c>
      <c r="D50">
        <f>(Prices!D1210/Prices!D1209)-1</f>
        <v>3.6475331157611812E-2</v>
      </c>
      <c r="E50">
        <f>(Prices!E1210/Prices!E1209)-1</f>
        <v>3.1026086956521759E-2</v>
      </c>
      <c r="F50">
        <f>(Prices!F1210/Prices!F1209)-1</f>
        <v>2.3289375466533979E-2</v>
      </c>
      <c r="G50">
        <f t="shared" si="2"/>
        <v>2.8687209249112746E-2</v>
      </c>
      <c r="H50" s="8">
        <f t="shared" si="3"/>
        <v>923621.2571978746</v>
      </c>
      <c r="I50" s="8">
        <f t="shared" si="0"/>
        <v>1000000</v>
      </c>
      <c r="J50" s="13">
        <f t="shared" si="1"/>
        <v>-7.6378742802125407E-2</v>
      </c>
    </row>
    <row r="51" spans="1:10" x14ac:dyDescent="0.25">
      <c r="A51" s="6">
        <v>44529</v>
      </c>
      <c r="B51">
        <f>(Prices!B1209/Prices!B1208)-1</f>
        <v>-2.302996670366253E-2</v>
      </c>
      <c r="C51">
        <f>(Prices!C1209/Prices!C1208)-1</f>
        <v>-2.063894209973427E-2</v>
      </c>
      <c r="D51">
        <f>(Prices!D1209/Prices!D1208)-1</f>
        <v>-5.5364642993508406E-3</v>
      </c>
      <c r="E51">
        <f>(Prices!E1209/Prices!E1208)-1</f>
        <v>4.3317264025710678E-3</v>
      </c>
      <c r="F51">
        <f>(Prices!F1209/Prices!F1208)-1</f>
        <v>-2.6758687492432487E-2</v>
      </c>
      <c r="G51">
        <f t="shared" si="2"/>
        <v>-1.4326466838521812E-2</v>
      </c>
      <c r="H51" s="8">
        <f t="shared" si="3"/>
        <v>910389.02788527543</v>
      </c>
      <c r="I51" s="8">
        <f t="shared" si="0"/>
        <v>1000000</v>
      </c>
      <c r="J51" s="13">
        <f t="shared" si="1"/>
        <v>-8.9610972114724574E-2</v>
      </c>
    </row>
    <row r="52" spans="1:10" x14ac:dyDescent="0.25">
      <c r="A52" s="5">
        <v>44530</v>
      </c>
      <c r="B52">
        <f>(Prices!B1208/Prices!B1207)-1</f>
        <v>2.5611838360842354E-2</v>
      </c>
      <c r="C52">
        <f>(Prices!C1208/Prices!C1207)-1</f>
        <v>1.8247026993015725E-2</v>
      </c>
      <c r="D52">
        <f>(Prices!D1208/Prices!D1207)-1</f>
        <v>2.9278836706622124E-2</v>
      </c>
      <c r="E52">
        <f>(Prices!E1208/Prices!E1207)-1</f>
        <v>1.5106382978723465E-2</v>
      </c>
      <c r="F52">
        <f>(Prices!F1208/Prices!F1207)-1</f>
        <v>1.7519219396806562E-2</v>
      </c>
      <c r="G52">
        <f t="shared" si="2"/>
        <v>2.1152660887202045E-2</v>
      </c>
      <c r="H52" s="8">
        <f t="shared" si="3"/>
        <v>929646.1782675623</v>
      </c>
      <c r="I52" s="8">
        <f t="shared" si="0"/>
        <v>1000000</v>
      </c>
      <c r="J52" s="13">
        <f t="shared" si="1"/>
        <v>-7.0353821732437705E-2</v>
      </c>
    </row>
    <row r="53" spans="1:10" x14ac:dyDescent="0.25">
      <c r="A53" s="6">
        <v>44531</v>
      </c>
      <c r="B53">
        <f>(Prices!B1207/Prices!B1206)-1</f>
        <v>6.0120240480963094E-3</v>
      </c>
      <c r="C53">
        <f>(Prices!C1207/Prices!C1206)-1</f>
        <v>1.5439392507168304E-3</v>
      </c>
      <c r="D53">
        <f>(Prices!D1207/Prices!D1206)-1</f>
        <v>7.8662733529988316E-4</v>
      </c>
      <c r="E53">
        <f>(Prices!E1207/Prices!E1206)-1</f>
        <v>5.9931506849315586E-3</v>
      </c>
      <c r="F53">
        <f>(Prices!F1207/Prices!F1206)-1</f>
        <v>-2.7096933119841182E-4</v>
      </c>
      <c r="G53">
        <f t="shared" si="2"/>
        <v>2.8129543975692339E-3</v>
      </c>
      <c r="H53" s="8">
        <f t="shared" si="3"/>
        <v>932261.23057290341</v>
      </c>
      <c r="I53" s="8">
        <f t="shared" si="0"/>
        <v>1000000</v>
      </c>
      <c r="J53" s="13">
        <f t="shared" si="1"/>
        <v>-6.7738769427096585E-2</v>
      </c>
    </row>
    <row r="54" spans="1:10" x14ac:dyDescent="0.25">
      <c r="A54" s="5">
        <v>44532</v>
      </c>
      <c r="B54">
        <f>(Prices!B1206/Prices!B1205)-1</f>
        <v>-1.3416184154780408E-2</v>
      </c>
      <c r="C54">
        <f>(Prices!C1206/Prices!C1205)-1</f>
        <v>1.7992424242423422E-3</v>
      </c>
      <c r="D54">
        <f>(Prices!D1206/Prices!D1205)-1</f>
        <v>-2.4366845740598553E-2</v>
      </c>
      <c r="E54">
        <f>(Prices!E1206/Prices!E1205)-1</f>
        <v>-2.0613514080078388E-2</v>
      </c>
      <c r="F54">
        <f>(Prices!F1206/Prices!F1205)-1</f>
        <v>-3.7547855109454353E-3</v>
      </c>
      <c r="G54">
        <f t="shared" si="2"/>
        <v>-1.2070417412432088E-2</v>
      </c>
      <c r="H54" s="8">
        <f t="shared" si="3"/>
        <v>921008.44838246086</v>
      </c>
      <c r="I54" s="8">
        <f t="shared" si="0"/>
        <v>1000000</v>
      </c>
      <c r="J54" s="13">
        <f t="shared" si="1"/>
        <v>-7.8991551617539138E-2</v>
      </c>
    </row>
    <row r="55" spans="1:10" x14ac:dyDescent="0.25">
      <c r="A55" s="6">
        <v>44533</v>
      </c>
      <c r="B55">
        <f>(Prices!B1205/Prices!B1204)-1</f>
        <v>6.8249680079626174E-3</v>
      </c>
      <c r="C55">
        <f>(Prices!C1205/Prices!C1204)-1</f>
        <v>2.0059889879898263E-2</v>
      </c>
      <c r="D55">
        <f>(Prices!D1205/Prices!D1204)-1</f>
        <v>6.3718864645683215E-3</v>
      </c>
      <c r="E55">
        <f>(Prices!E1205/Prices!E1204)-1</f>
        <v>1.8431539994306911E-2</v>
      </c>
      <c r="F55">
        <f>(Prices!F1205/Prices!F1204)-1</f>
        <v>-1.0586635586635529E-2</v>
      </c>
      <c r="G55">
        <f t="shared" si="2"/>
        <v>8.2203297520201182E-3</v>
      </c>
      <c r="H55" s="8">
        <f t="shared" si="3"/>
        <v>928579.44153256097</v>
      </c>
      <c r="I55" s="8">
        <f t="shared" si="0"/>
        <v>1000000</v>
      </c>
      <c r="J55" s="13">
        <f t="shared" si="1"/>
        <v>-7.1420558467439027E-2</v>
      </c>
    </row>
    <row r="56" spans="1:10" x14ac:dyDescent="0.25">
      <c r="A56" s="5">
        <v>44536</v>
      </c>
      <c r="B56">
        <f>(Prices!B1204/Prices!B1203)-1</f>
        <v>-8.1094422114096343E-3</v>
      </c>
      <c r="C56">
        <f>(Prices!C1204/Prices!C1203)-1</f>
        <v>-9.7567197015592244E-3</v>
      </c>
      <c r="D56">
        <f>(Prices!D1204/Prices!D1203)-1</f>
        <v>-1.1075042963528681E-2</v>
      </c>
      <c r="E56">
        <f>(Prices!E1204/Prices!E1203)-1</f>
        <v>-1.1675341116894056E-2</v>
      </c>
      <c r="F56">
        <f>(Prices!F1204/Prices!F1203)-1</f>
        <v>-2.3451023166481066E-2</v>
      </c>
      <c r="G56">
        <f t="shared" si="2"/>
        <v>-1.2813513831974533E-2</v>
      </c>
      <c r="H56" s="8">
        <f t="shared" si="3"/>
        <v>916681.07601439639</v>
      </c>
      <c r="I56" s="8">
        <f t="shared" si="0"/>
        <v>1000000</v>
      </c>
      <c r="J56" s="13">
        <f t="shared" si="1"/>
        <v>-8.3318923985603616E-2</v>
      </c>
    </row>
    <row r="57" spans="1:10" x14ac:dyDescent="0.25">
      <c r="A57" s="6">
        <v>44537</v>
      </c>
      <c r="B57">
        <f>(Prices!B1203/Prices!B1202)-1</f>
        <v>-2.7899643542637742E-2</v>
      </c>
      <c r="C57">
        <f>(Prices!C1203/Prices!C1202)-1</f>
        <v>-2.6054282342711566E-2</v>
      </c>
      <c r="D57">
        <f>(Prices!D1203/Prices!D1202)-1</f>
        <v>-1.1140483383685895E-2</v>
      </c>
      <c r="E57">
        <f>(Prices!E1203/Prices!E1202)-1</f>
        <v>-1.4828159645232764E-2</v>
      </c>
      <c r="F57">
        <f>(Prices!F1203/Prices!F1202)-1</f>
        <v>-9.9305099070334801E-3</v>
      </c>
      <c r="G57">
        <f t="shared" si="2"/>
        <v>-1.7970615764260289E-2</v>
      </c>
      <c r="H57" s="8">
        <f t="shared" si="3"/>
        <v>900207.75261897303</v>
      </c>
      <c r="I57" s="8">
        <f t="shared" si="0"/>
        <v>1000000</v>
      </c>
      <c r="J57" s="13">
        <f t="shared" si="1"/>
        <v>-9.9792247381026974E-2</v>
      </c>
    </row>
    <row r="58" spans="1:10" x14ac:dyDescent="0.25">
      <c r="A58" s="5">
        <v>44538</v>
      </c>
      <c r="B58">
        <f>(Prices!B1202/Prices!B1201)-1</f>
        <v>-6.1993323795899169E-3</v>
      </c>
      <c r="C58">
        <f>(Prices!C1202/Prices!C1201)-1</f>
        <v>-1.5524575402869889E-4</v>
      </c>
      <c r="D58">
        <f>(Prices!D1202/Prices!D1201)-1</f>
        <v>-2.8243268687628831E-3</v>
      </c>
      <c r="E58">
        <f>(Prices!E1202/Prices!E1201)-1</f>
        <v>1.1565150346954489E-2</v>
      </c>
      <c r="F58">
        <f>(Prices!F1202/Prices!F1201)-1</f>
        <v>-8.8190808609657223E-3</v>
      </c>
      <c r="G58">
        <f t="shared" si="2"/>
        <v>-1.2865671032785467E-3</v>
      </c>
      <c r="H58" s="8">
        <f t="shared" si="3"/>
        <v>899049.57493833709</v>
      </c>
      <c r="I58" s="8">
        <f t="shared" si="0"/>
        <v>1000000</v>
      </c>
      <c r="J58" s="13">
        <f t="shared" si="1"/>
        <v>-0.10095042506166291</v>
      </c>
    </row>
    <row r="59" spans="1:10" x14ac:dyDescent="0.25">
      <c r="A59" s="6">
        <v>44539</v>
      </c>
      <c r="B59">
        <f>(Prices!B1201/Prices!B1200)-1</f>
        <v>3.6923076923076614E-3</v>
      </c>
      <c r="C59">
        <f>(Prices!C1201/Prices!C1200)-1</f>
        <v>5.6202579073907355E-3</v>
      </c>
      <c r="D59">
        <f>(Prices!D1201/Prices!D1200)-1</f>
        <v>-2.6291079812206242E-3</v>
      </c>
      <c r="E59">
        <f>(Prices!E1201/Prices!E1200)-1</f>
        <v>1.6147149677057104E-3</v>
      </c>
      <c r="F59">
        <f>(Prices!F1201/Prices!F1200)-1</f>
        <v>-9.4046054906299359E-3</v>
      </c>
      <c r="G59">
        <f t="shared" si="2"/>
        <v>-2.2128658088929067E-4</v>
      </c>
      <c r="H59" s="8">
        <f t="shared" si="3"/>
        <v>898850.62733184907</v>
      </c>
      <c r="I59" s="8">
        <f t="shared" si="0"/>
        <v>1000000</v>
      </c>
      <c r="J59" s="13">
        <f t="shared" si="1"/>
        <v>-0.10114937266815092</v>
      </c>
    </row>
    <row r="60" spans="1:10" x14ac:dyDescent="0.25">
      <c r="A60" s="5">
        <v>44540</v>
      </c>
      <c r="B60">
        <f>(Prices!B1200/Prices!B1199)-1</f>
        <v>-2.4554941682014553E-3</v>
      </c>
      <c r="C60">
        <f>(Prices!C1200/Prices!C1199)-1</f>
        <v>-2.7569454987095954E-2</v>
      </c>
      <c r="D60">
        <f>(Prices!D1200/Prices!D1199)-1</f>
        <v>-6.3444672513529587E-3</v>
      </c>
      <c r="E60">
        <f>(Prices!E1200/Prices!E1199)-1</f>
        <v>3.9469974626444859E-3</v>
      </c>
      <c r="F60">
        <f>(Prices!F1200/Prices!F1199)-1</f>
        <v>-1.026623776606661E-2</v>
      </c>
      <c r="G60">
        <f t="shared" si="2"/>
        <v>-8.5377313420144981E-3</v>
      </c>
      <c r="H60" s="8">
        <f t="shared" si="3"/>
        <v>891176.48215908848</v>
      </c>
      <c r="I60" s="8">
        <f t="shared" si="0"/>
        <v>1000000</v>
      </c>
      <c r="J60" s="13">
        <f t="shared" si="1"/>
        <v>-0.10882351784091152</v>
      </c>
    </row>
    <row r="61" spans="1:10" x14ac:dyDescent="0.25">
      <c r="A61" s="6">
        <v>44543</v>
      </c>
      <c r="B61">
        <f>(Prices!B1199/Prices!B1198)-1</f>
        <v>1.4953271028037562E-2</v>
      </c>
      <c r="C61">
        <f>(Prices!C1199/Prices!C1198)-1</f>
        <v>9.2544356939294747E-3</v>
      </c>
      <c r="D61">
        <f>(Prices!D1199/Prices!D1198)-1</f>
        <v>2.2319725295688597E-2</v>
      </c>
      <c r="E61">
        <f>(Prices!E1199/Prices!E1198)-1</f>
        <v>1.2055068121834545E-2</v>
      </c>
      <c r="F61">
        <f>(Prices!F1199/Prices!F1198)-1</f>
        <v>1.8254420992569464E-4</v>
      </c>
      <c r="G61">
        <f t="shared" si="2"/>
        <v>1.1753008869883175E-2</v>
      </c>
      <c r="H61" s="8">
        <f t="shared" si="3"/>
        <v>901650.48725853558</v>
      </c>
      <c r="I61" s="8">
        <f t="shared" si="0"/>
        <v>1000000</v>
      </c>
      <c r="J61" s="13">
        <f t="shared" si="1"/>
        <v>-9.8349512741464418E-2</v>
      </c>
    </row>
    <row r="62" spans="1:10" x14ac:dyDescent="0.25">
      <c r="A62" s="5">
        <v>44544</v>
      </c>
      <c r="B62">
        <f>(Prices!B1198/Prices!B1197)-1</f>
        <v>1.3328656611715006E-2</v>
      </c>
      <c r="C62">
        <f>(Prices!C1198/Prices!C1197)-1</f>
        <v>3.3703950077607736E-2</v>
      </c>
      <c r="D62">
        <f>(Prices!D1198/Prices!D1197)-1</f>
        <v>1.5284677111195855E-3</v>
      </c>
      <c r="E62">
        <f>(Prices!E1198/Prices!E1197)-1</f>
        <v>-7.57468497805458E-3</v>
      </c>
      <c r="F62">
        <f>(Prices!F1198/Prices!F1197)-1</f>
        <v>-2.7533791471350266E-3</v>
      </c>
      <c r="G62">
        <f t="shared" si="2"/>
        <v>7.6466020550505463E-3</v>
      </c>
      <c r="H62" s="8">
        <f t="shared" si="3"/>
        <v>908545.04972734395</v>
      </c>
      <c r="I62" s="8">
        <f t="shared" si="0"/>
        <v>1000000</v>
      </c>
      <c r="J62" s="13">
        <f t="shared" si="1"/>
        <v>-9.1454950272656044E-2</v>
      </c>
    </row>
    <row r="63" spans="1:10" x14ac:dyDescent="0.25">
      <c r="A63" s="6">
        <v>44545</v>
      </c>
      <c r="B63">
        <f>(Prices!B1197/Prices!B1196)-1</f>
        <v>-1.7303184889011392E-2</v>
      </c>
      <c r="C63">
        <f>(Prices!C1197/Prices!C1196)-1</f>
        <v>-1.8864992541024361E-2</v>
      </c>
      <c r="D63">
        <f>(Prices!D1197/Prices!D1196)-1</f>
        <v>4.4137401650354846E-3</v>
      </c>
      <c r="E63">
        <f>(Prices!E1197/Prices!E1196)-1</f>
        <v>7.4887668497252147E-3</v>
      </c>
      <c r="F63">
        <f>(Prices!F1197/Prices!F1196)-1</f>
        <v>-3.0189345456150485E-2</v>
      </c>
      <c r="G63">
        <f t="shared" si="2"/>
        <v>-1.0891003174285109E-2</v>
      </c>
      <c r="H63" s="8">
        <f t="shared" si="3"/>
        <v>898650.08270678238</v>
      </c>
      <c r="I63" s="8">
        <f t="shared" si="0"/>
        <v>1000000</v>
      </c>
      <c r="J63" s="13">
        <f t="shared" si="1"/>
        <v>-0.10134991729321761</v>
      </c>
    </row>
    <row r="64" spans="1:10" x14ac:dyDescent="0.25">
      <c r="A64" s="5">
        <v>44546</v>
      </c>
      <c r="B64">
        <f>(Prices!B1196/Prices!B1195)-1</f>
        <v>1.3838412077159523E-2</v>
      </c>
      <c r="C64">
        <f>(Prices!C1196/Prices!C1195)-1</f>
        <v>2.9994558084445844E-2</v>
      </c>
      <c r="D64">
        <f>(Prices!D1196/Prices!D1195)-1</f>
        <v>-1.7241379310345417E-3</v>
      </c>
      <c r="E64">
        <f>(Prices!E1196/Prices!E1195)-1</f>
        <v>-1.5379213483146081E-2</v>
      </c>
      <c r="F64">
        <f>(Prices!F1196/Prices!F1195)-1</f>
        <v>3.099127816885705E-3</v>
      </c>
      <c r="G64">
        <f t="shared" si="2"/>
        <v>5.9657493128620898E-3</v>
      </c>
      <c r="H64" s="8">
        <f t="shared" si="3"/>
        <v>904011.20382019388</v>
      </c>
      <c r="I64" s="8">
        <f t="shared" si="0"/>
        <v>1000000</v>
      </c>
      <c r="J64" s="13">
        <f t="shared" si="1"/>
        <v>-9.5988796179806116E-2</v>
      </c>
    </row>
    <row r="65" spans="1:10" x14ac:dyDescent="0.25">
      <c r="A65" s="6">
        <v>44547</v>
      </c>
      <c r="B65">
        <f>(Prices!B1195/Prices!B1194)-1</f>
        <v>1.9160908896645346E-2</v>
      </c>
      <c r="C65">
        <f>(Prices!C1195/Prices!C1194)-1</f>
        <v>3.4047473741689593E-3</v>
      </c>
      <c r="D65">
        <f>(Prices!D1195/Prices!D1194)-1</f>
        <v>2.2326674500587451E-2</v>
      </c>
      <c r="E65">
        <f>(Prices!E1195/Prices!E1194)-1</f>
        <v>2.3282552457602801E-2</v>
      </c>
      <c r="F65">
        <f>(Prices!F1195/Prices!F1194)-1</f>
        <v>1.1781042823866716E-2</v>
      </c>
      <c r="G65">
        <f t="shared" si="2"/>
        <v>1.5991185210574257E-2</v>
      </c>
      <c r="H65" s="8">
        <f t="shared" si="3"/>
        <v>918467.41441291687</v>
      </c>
      <c r="I65" s="8">
        <f t="shared" si="0"/>
        <v>1000000</v>
      </c>
      <c r="J65" s="13">
        <f t="shared" si="1"/>
        <v>-8.1532585587083123E-2</v>
      </c>
    </row>
    <row r="66" spans="1:10" x14ac:dyDescent="0.25">
      <c r="A66" s="5">
        <v>44550</v>
      </c>
      <c r="B66">
        <f>(Prices!B1194/Prices!B1193)-1</f>
        <v>8.5549297782838707E-4</v>
      </c>
      <c r="C66">
        <f>(Prices!C1194/Prices!C1193)-1</f>
        <v>1.2159042881758175E-2</v>
      </c>
      <c r="D66">
        <f>(Prices!D1194/Prices!D1193)-1</f>
        <v>1.4705882352941124E-2</v>
      </c>
      <c r="E66">
        <f>(Prices!E1194/Prices!E1193)-1</f>
        <v>1.8293575296356002E-2</v>
      </c>
      <c r="F66">
        <f>(Prices!F1194/Prices!F1193)-1</f>
        <v>6.9917452298253746E-3</v>
      </c>
      <c r="G66">
        <f t="shared" ref="G66:G129" si="4">B66*20%+C66*20%+D66*20%+E66*20%+F66*20%</f>
        <v>1.0601147747741815E-2</v>
      </c>
      <c r="H66" s="8">
        <f t="shared" si="3"/>
        <v>928204.22317459469</v>
      </c>
      <c r="I66" s="8">
        <f t="shared" ref="I66:I129" si="5">MAX(I65,H66)</f>
        <v>1000000</v>
      </c>
      <c r="J66" s="13">
        <f t="shared" ref="J66:J129" si="6">(H66-I66)/I66</f>
        <v>-7.1795776825405305E-2</v>
      </c>
    </row>
    <row r="67" spans="1:10" x14ac:dyDescent="0.25">
      <c r="A67" s="6">
        <v>44551</v>
      </c>
      <c r="B67">
        <f>(Prices!B1193/Prices!B1192)-1</f>
        <v>-1.3017168589923966E-2</v>
      </c>
      <c r="C67">
        <f>(Prices!C1193/Prices!C1192)-1</f>
        <v>-2.2530824965043994E-2</v>
      </c>
      <c r="D67">
        <f>(Prices!D1193/Prices!D1192)-1</f>
        <v>-2.2153128643606745E-2</v>
      </c>
      <c r="E67">
        <f>(Prices!E1193/Prices!E1192)-1</f>
        <v>-1.3712471131639759E-2</v>
      </c>
      <c r="F67">
        <f>(Prices!F1193/Prices!F1192)-1</f>
        <v>-7.1211035471157036E-3</v>
      </c>
      <c r="G67">
        <f t="shared" si="4"/>
        <v>-1.5706939375466036E-2</v>
      </c>
      <c r="H67" s="8">
        <f t="shared" si="3"/>
        <v>913624.97571313975</v>
      </c>
      <c r="I67" s="8">
        <f t="shared" si="5"/>
        <v>1000000</v>
      </c>
      <c r="J67" s="13">
        <f t="shared" si="6"/>
        <v>-8.6375024286860252E-2</v>
      </c>
    </row>
    <row r="68" spans="1:10" x14ac:dyDescent="0.25">
      <c r="A68" s="5">
        <v>44552</v>
      </c>
      <c r="B68">
        <f>(Prices!B1192/Prices!B1191)-1</f>
        <v>-2.0064814176377288E-2</v>
      </c>
      <c r="C68">
        <f>(Prices!C1192/Prices!C1191)-1</f>
        <v>-1.7760714174236081E-2</v>
      </c>
      <c r="D68">
        <f>(Prices!D1192/Prices!D1191)-1</f>
        <v>-7.9043763254288413E-3</v>
      </c>
      <c r="E68">
        <f>(Prices!E1192/Prices!E1191)-1</f>
        <v>-3.9537057005248899E-3</v>
      </c>
      <c r="F68">
        <f>(Prices!F1192/Prices!F1191)-1</f>
        <v>-1.4020445563136197E-2</v>
      </c>
      <c r="G68">
        <f t="shared" si="4"/>
        <v>-1.2740811187940659E-2</v>
      </c>
      <c r="H68" s="8">
        <f t="shared" ref="H68:H131" si="7">H67*(1+G68)</f>
        <v>901984.65240099176</v>
      </c>
      <c r="I68" s="8">
        <f t="shared" si="5"/>
        <v>1000000</v>
      </c>
      <c r="J68" s="13">
        <f t="shared" si="6"/>
        <v>-9.8015347599008235E-2</v>
      </c>
    </row>
    <row r="69" spans="1:10" x14ac:dyDescent="0.25">
      <c r="A69" s="6">
        <v>44553</v>
      </c>
      <c r="B69">
        <f>(Prices!B1191/Prices!B1190)-1</f>
        <v>-3.43571772143203E-3</v>
      </c>
      <c r="C69">
        <f>(Prices!C1191/Prices!C1190)-1</f>
        <v>-4.4437538844002145E-3</v>
      </c>
      <c r="D69">
        <f>(Prices!D1191/Prices!D1190)-1</f>
        <v>-5.7803468208095232E-4</v>
      </c>
      <c r="E69">
        <f>(Prices!E1191/Prices!E1190)-1</f>
        <v>-3.510028653294972E-3</v>
      </c>
      <c r="F69">
        <f>(Prices!F1191/Prices!F1190)-1</f>
        <v>-2.5107367030062777E-3</v>
      </c>
      <c r="G69">
        <f t="shared" si="4"/>
        <v>-2.8956543288428897E-3</v>
      </c>
      <c r="H69" s="8">
        <f t="shared" si="7"/>
        <v>899372.81663771695</v>
      </c>
      <c r="I69" s="8">
        <f t="shared" si="5"/>
        <v>1000000</v>
      </c>
      <c r="J69" s="13">
        <f t="shared" si="6"/>
        <v>-0.10062718336228305</v>
      </c>
    </row>
    <row r="70" spans="1:10" x14ac:dyDescent="0.25">
      <c r="A70" s="5">
        <v>44557</v>
      </c>
      <c r="B70">
        <f>(Prices!B1190/Prices!B1189)-1</f>
        <v>-6.6889632107022257E-3</v>
      </c>
      <c r="C70">
        <f>(Prices!C1190/Prices!C1189)-1</f>
        <v>-2.2656866913685181E-2</v>
      </c>
      <c r="D70">
        <f>(Prices!D1190/Prices!D1189)-1</f>
        <v>-1.4057750759878473E-2</v>
      </c>
      <c r="E70">
        <f>(Prices!E1190/Prices!E1189)-1</f>
        <v>-5.6980056980058258E-3</v>
      </c>
      <c r="F70">
        <f>(Prices!F1190/Prices!F1189)-1</f>
        <v>-8.2563396894043128E-3</v>
      </c>
      <c r="G70">
        <f t="shared" si="4"/>
        <v>-1.1471585254335203E-2</v>
      </c>
      <c r="H70" s="8">
        <f t="shared" si="7"/>
        <v>889055.58469622582</v>
      </c>
      <c r="I70" s="8">
        <f t="shared" si="5"/>
        <v>1000000</v>
      </c>
      <c r="J70" s="13">
        <f t="shared" si="6"/>
        <v>-0.11094441530377418</v>
      </c>
    </row>
    <row r="71" spans="1:10" x14ac:dyDescent="0.25">
      <c r="A71" s="6">
        <v>44558</v>
      </c>
      <c r="B71">
        <f>(Prices!B1189/Prices!B1188)-1</f>
        <v>8.327598072952469E-3</v>
      </c>
      <c r="C71">
        <f>(Prices!C1189/Prices!C1188)-1</f>
        <v>3.5049221297733801E-3</v>
      </c>
      <c r="D71">
        <f>(Prices!D1189/Prices!D1188)-1</f>
        <v>3.2399466361729967E-3</v>
      </c>
      <c r="E71">
        <f>(Prices!E1189/Prices!E1188)-1</f>
        <v>-3.053326705957593E-3</v>
      </c>
      <c r="F71">
        <f>(Prices!F1189/Prices!F1188)-1</f>
        <v>-6.8332682545880763E-3</v>
      </c>
      <c r="G71">
        <f t="shared" si="4"/>
        <v>1.0371743756706355E-3</v>
      </c>
      <c r="H71" s="8">
        <f t="shared" si="7"/>
        <v>889977.69036721974</v>
      </c>
      <c r="I71" s="8">
        <f t="shared" si="5"/>
        <v>1000000</v>
      </c>
      <c r="J71" s="13">
        <f t="shared" si="6"/>
        <v>-0.11002230963278026</v>
      </c>
    </row>
    <row r="72" spans="1:10" x14ac:dyDescent="0.25">
      <c r="A72" s="5">
        <v>44559</v>
      </c>
      <c r="B72">
        <f>(Prices!B1188/Prices!B1187)-1</f>
        <v>2.0651201211530079E-4</v>
      </c>
      <c r="C72">
        <f>(Prices!C1188/Prices!C1187)-1</f>
        <v>-2.0378368513899181E-3</v>
      </c>
      <c r="D72">
        <f>(Prices!D1188/Prices!D1187)-1</f>
        <v>8.8444529898097368E-3</v>
      </c>
      <c r="E72">
        <f>(Prices!E1188/Prices!E1187)-1</f>
        <v>4.9730036942330358E-4</v>
      </c>
      <c r="F72">
        <f>(Prices!F1188/Prices!F1187)-1</f>
        <v>-5.2222701769528701E-3</v>
      </c>
      <c r="G72">
        <f t="shared" si="4"/>
        <v>4.5763166860111068E-4</v>
      </c>
      <c r="H72" s="8">
        <f t="shared" si="7"/>
        <v>890384.97234268032</v>
      </c>
      <c r="I72" s="8">
        <f t="shared" si="5"/>
        <v>1000000</v>
      </c>
      <c r="J72" s="13">
        <f t="shared" si="6"/>
        <v>-0.10961502765731967</v>
      </c>
    </row>
    <row r="73" spans="1:10" x14ac:dyDescent="0.25">
      <c r="A73" s="6">
        <v>44560</v>
      </c>
      <c r="B73">
        <f>(Prices!B1187/Prices!B1186)-1</f>
        <v>3.1073056207706617E-3</v>
      </c>
      <c r="C73">
        <f>(Prices!C1187/Prices!C1186)-1</f>
        <v>7.7547892720306599E-3</v>
      </c>
      <c r="D73">
        <f>(Prices!D1187/Prices!D1186)-1</f>
        <v>5.9961315280463445E-3</v>
      </c>
      <c r="E73">
        <f>(Prices!E1187/Prices!E1186)-1</f>
        <v>4.9754780012789546E-4</v>
      </c>
      <c r="F73">
        <f>(Prices!F1187/Prices!F1186)-1</f>
        <v>2.2710068130202821E-3</v>
      </c>
      <c r="G73">
        <f t="shared" si="4"/>
        <v>3.9253562067991694E-3</v>
      </c>
      <c r="H73" s="8">
        <f t="shared" si="7"/>
        <v>893880.05052030634</v>
      </c>
      <c r="I73" s="8">
        <f t="shared" si="5"/>
        <v>1000000</v>
      </c>
      <c r="J73" s="13">
        <f t="shared" si="6"/>
        <v>-0.10611994947969366</v>
      </c>
    </row>
    <row r="74" spans="1:10" x14ac:dyDescent="0.25">
      <c r="A74" s="5">
        <v>44561</v>
      </c>
      <c r="B74">
        <f>(Prices!B1186/Prices!B1185)-1</f>
        <v>9.2689386019930708E-3</v>
      </c>
      <c r="C74">
        <f>(Prices!C1186/Prices!C1185)-1</f>
        <v>8.9062065126634948E-3</v>
      </c>
      <c r="D74">
        <f>(Prices!D1186/Prices!D1185)-1</f>
        <v>-6.5334358186009966E-3</v>
      </c>
      <c r="E74">
        <f>(Prices!E1186/Prices!E1185)-1</f>
        <v>8.5366721206514562E-4</v>
      </c>
      <c r="F74">
        <f>(Prices!F1186/Prices!F1185)-1</f>
        <v>4.5627376425856347E-3</v>
      </c>
      <c r="G74">
        <f t="shared" si="4"/>
        <v>3.41162283014127E-3</v>
      </c>
      <c r="H74" s="8">
        <f t="shared" si="7"/>
        <v>896929.63210806926</v>
      </c>
      <c r="I74" s="8">
        <f t="shared" si="5"/>
        <v>1000000</v>
      </c>
      <c r="J74" s="13">
        <f t="shared" si="6"/>
        <v>-0.10307036789193075</v>
      </c>
    </row>
    <row r="75" spans="1:10" x14ac:dyDescent="0.25">
      <c r="A75" s="6">
        <v>44564</v>
      </c>
      <c r="B75">
        <f>(Prices!B1185/Prices!B1184)-1</f>
        <v>-9.0516641136328957E-4</v>
      </c>
      <c r="C75">
        <f>(Prices!C1185/Prices!C1184)-1</f>
        <v>4.6914807680358273E-3</v>
      </c>
      <c r="D75">
        <f>(Prices!D1185/Prices!D1184)-1</f>
        <v>-3.700962250185047E-2</v>
      </c>
      <c r="E75">
        <f>(Prices!E1185/Prices!E1184)-1</f>
        <v>-2.0691096558450583E-2</v>
      </c>
      <c r="F75">
        <f>(Prices!F1185/Prices!F1184)-1</f>
        <v>-2.8237542899345325E-4</v>
      </c>
      <c r="G75">
        <f t="shared" si="4"/>
        <v>-1.0839356026524395E-2</v>
      </c>
      <c r="H75" s="8">
        <f t="shared" si="7"/>
        <v>887207.49249491037</v>
      </c>
      <c r="I75" s="8">
        <f t="shared" si="5"/>
        <v>1000000</v>
      </c>
      <c r="J75" s="13">
        <f t="shared" si="6"/>
        <v>-0.11279250750508962</v>
      </c>
    </row>
    <row r="76" spans="1:10" x14ac:dyDescent="0.25">
      <c r="A76" s="5">
        <v>44565</v>
      </c>
      <c r="B76">
        <f>(Prices!B1184/Prices!B1183)-1</f>
        <v>4.0548098434005642E-3</v>
      </c>
      <c r="C76">
        <f>(Prices!C1184/Prices!C1183)-1</f>
        <v>1.7449579566289453E-2</v>
      </c>
      <c r="D76">
        <f>(Prices!D1184/Prices!D1183)-1</f>
        <v>-3.6204744069912587E-2</v>
      </c>
      <c r="E76">
        <f>(Prices!E1184/Prices!E1183)-1</f>
        <v>-3.6579636217195843E-2</v>
      </c>
      <c r="F76">
        <f>(Prices!F1184/Prices!F1183)-1</f>
        <v>2.318035337259694E-2</v>
      </c>
      <c r="G76">
        <f t="shared" si="4"/>
        <v>-5.6199275009642937E-3</v>
      </c>
      <c r="H76" s="8">
        <f t="shared" si="7"/>
        <v>882221.4507087766</v>
      </c>
      <c r="I76" s="8">
        <f t="shared" si="5"/>
        <v>1000000</v>
      </c>
      <c r="J76" s="13">
        <f t="shared" si="6"/>
        <v>-0.1177785492912234</v>
      </c>
    </row>
    <row r="77" spans="1:10" x14ac:dyDescent="0.25">
      <c r="A77" s="6">
        <v>44566</v>
      </c>
      <c r="B77">
        <f>(Prices!B1183/Prices!B1182)-1</f>
        <v>4.8065650644783187E-2</v>
      </c>
      <c r="C77">
        <f>(Prices!C1183/Prices!C1182)-1</f>
        <v>3.9942141424767375E-2</v>
      </c>
      <c r="D77">
        <f>(Prices!D1183/Prices!D1182)-1</f>
        <v>-1.2330456226880449E-2</v>
      </c>
      <c r="E77">
        <f>(Prices!E1183/Prices!E1182)-1</f>
        <v>1.8665390400656401E-2</v>
      </c>
      <c r="F77">
        <f>(Prices!F1183/Prices!F1182)-1</f>
        <v>2.4730416183940118E-3</v>
      </c>
      <c r="G77">
        <f t="shared" si="4"/>
        <v>1.9363153572344104E-2</v>
      </c>
      <c r="H77" s="8">
        <f t="shared" si="7"/>
        <v>899304.04014366691</v>
      </c>
      <c r="I77" s="8">
        <f t="shared" si="5"/>
        <v>1000000</v>
      </c>
      <c r="J77" s="13">
        <f t="shared" si="6"/>
        <v>-0.10069595985633309</v>
      </c>
    </row>
    <row r="78" spans="1:10" x14ac:dyDescent="0.25">
      <c r="A78" s="5">
        <v>44567</v>
      </c>
      <c r="B78">
        <f>(Prices!B1182/Prices!B1181)-1</f>
        <v>2.1986075485536105E-4</v>
      </c>
      <c r="C78">
        <f>(Prices!C1182/Prices!C1181)-1</f>
        <v>7.9525497862751315E-3</v>
      </c>
      <c r="D78">
        <f>(Prices!D1182/Prices!D1181)-1</f>
        <v>-2.3059714334882075E-2</v>
      </c>
      <c r="E78">
        <f>(Prices!E1182/Prices!E1181)-1</f>
        <v>-1.0553375727235803E-2</v>
      </c>
      <c r="F78">
        <f>(Prices!F1182/Prices!F1181)-1</f>
        <v>4.2674286245266702E-2</v>
      </c>
      <c r="G78">
        <f t="shared" si="4"/>
        <v>3.4467213448558633E-3</v>
      </c>
      <c r="H78" s="8">
        <f t="shared" si="7"/>
        <v>902403.69057434518</v>
      </c>
      <c r="I78" s="8">
        <f t="shared" si="5"/>
        <v>1000000</v>
      </c>
      <c r="J78" s="13">
        <f t="shared" si="6"/>
        <v>-9.7596309425654823E-2</v>
      </c>
    </row>
    <row r="79" spans="1:10" x14ac:dyDescent="0.25">
      <c r="A79" s="6">
        <v>44568</v>
      </c>
      <c r="B79">
        <f>(Prices!B1181/Prices!B1180)-1</f>
        <v>5.3046489353865134E-3</v>
      </c>
      <c r="C79">
        <f>(Prices!C1181/Prices!C1180)-1</f>
        <v>-4.9678744121339768E-4</v>
      </c>
      <c r="D79">
        <f>(Prices!D1181/Prices!D1180)-1</f>
        <v>-8.0232161147149039E-3</v>
      </c>
      <c r="E79">
        <f>(Prices!E1181/Prices!E1180)-1</f>
        <v>-9.7802786709539902E-3</v>
      </c>
      <c r="F79">
        <f>(Prices!F1181/Prices!F1180)-1</f>
        <v>2.4099538468858706E-2</v>
      </c>
      <c r="G79">
        <f t="shared" si="4"/>
        <v>2.2207810354725856E-3</v>
      </c>
      <c r="H79" s="8">
        <f t="shared" si="7"/>
        <v>904407.73157671315</v>
      </c>
      <c r="I79" s="8">
        <f t="shared" si="5"/>
        <v>1000000</v>
      </c>
      <c r="J79" s="13">
        <f t="shared" si="6"/>
        <v>-9.5592268423286844E-2</v>
      </c>
    </row>
    <row r="80" spans="1:10" x14ac:dyDescent="0.25">
      <c r="A80" s="5">
        <v>44571</v>
      </c>
      <c r="B80">
        <f>(Prices!B1180/Prices!B1179)-1</f>
        <v>-1.186662783925474E-2</v>
      </c>
      <c r="C80">
        <f>(Prices!C1180/Prices!C1179)-1</f>
        <v>-7.6116093589706502E-4</v>
      </c>
      <c r="D80">
        <f>(Prices!D1180/Prices!D1179)-1</f>
        <v>6.0106474325949399E-3</v>
      </c>
      <c r="E80">
        <f>(Prices!E1180/Prices!E1179)-1</f>
        <v>-9.3695623075884527E-4</v>
      </c>
      <c r="F80">
        <f>(Prices!F1180/Prices!F1179)-1</f>
        <v>-1.3772553436099622E-2</v>
      </c>
      <c r="G80">
        <f t="shared" si="4"/>
        <v>-4.265330201883067E-3</v>
      </c>
      <c r="H80" s="8">
        <f t="shared" si="7"/>
        <v>900550.13396440248</v>
      </c>
      <c r="I80" s="8">
        <f t="shared" si="5"/>
        <v>1000000</v>
      </c>
      <c r="J80" s="13">
        <f t="shared" si="6"/>
        <v>-9.9449866035597509E-2</v>
      </c>
    </row>
    <row r="81" spans="1:10" x14ac:dyDescent="0.25">
      <c r="A81" s="6">
        <v>44572</v>
      </c>
      <c r="B81">
        <f>(Prices!B1179/Prices!B1178)-1</f>
        <v>-7.6578529114288418E-3</v>
      </c>
      <c r="C81">
        <f>(Prices!C1179/Prices!C1178)-1</f>
        <v>-2.2453359749050605E-3</v>
      </c>
      <c r="D81">
        <f>(Prices!D1179/Prices!D1178)-1</f>
        <v>-4.0375741595253811E-2</v>
      </c>
      <c r="E81">
        <f>(Prices!E1179/Prices!E1178)-1</f>
        <v>-1.0696617194814184E-3</v>
      </c>
      <c r="F81">
        <f>(Prices!F1179/Prices!F1178)-1</f>
        <v>-8.5142019680368719E-3</v>
      </c>
      <c r="G81">
        <f t="shared" si="4"/>
        <v>-1.1972558833821201E-2</v>
      </c>
      <c r="H81" s="8">
        <f t="shared" si="7"/>
        <v>889768.24450270808</v>
      </c>
      <c r="I81" s="8">
        <f t="shared" si="5"/>
        <v>1000000</v>
      </c>
      <c r="J81" s="13">
        <f t="shared" si="6"/>
        <v>-0.11023175549729192</v>
      </c>
    </row>
    <row r="82" spans="1:10" x14ac:dyDescent="0.25">
      <c r="A82" s="5">
        <v>44573</v>
      </c>
      <c r="B82">
        <f>(Prices!B1178/Prices!B1177)-1</f>
        <v>-1.1991434689507585E-2</v>
      </c>
      <c r="C82">
        <f>(Prices!C1178/Prices!C1177)-1</f>
        <v>-1.0326459919610342E-2</v>
      </c>
      <c r="D82">
        <f>(Prices!D1178/Prices!D1177)-1</f>
        <v>2.9752066115702469E-3</v>
      </c>
      <c r="E82">
        <f>(Prices!E1178/Prices!E1177)-1</f>
        <v>-5.5843637814119162E-3</v>
      </c>
      <c r="F82">
        <f>(Prices!F1178/Prices!F1177)-1</f>
        <v>-9.9723629663749369E-3</v>
      </c>
      <c r="G82">
        <f t="shared" si="4"/>
        <v>-6.9798829490669064E-3</v>
      </c>
      <c r="H82" s="8">
        <f t="shared" si="7"/>
        <v>883557.76630428247</v>
      </c>
      <c r="I82" s="8">
        <f t="shared" si="5"/>
        <v>1000000</v>
      </c>
      <c r="J82" s="13">
        <f t="shared" si="6"/>
        <v>-0.11644223369571753</v>
      </c>
    </row>
    <row r="83" spans="1:10" x14ac:dyDescent="0.25">
      <c r="A83" s="6">
        <v>44574</v>
      </c>
      <c r="B83">
        <f>(Prices!B1177/Prices!B1176)-1</f>
        <v>2.0541958041957908E-2</v>
      </c>
      <c r="C83">
        <f>(Prices!C1177/Prices!C1176)-1</f>
        <v>4.4188903296253246E-2</v>
      </c>
      <c r="D83">
        <f>(Prices!D1177/Prices!D1176)-1</f>
        <v>7.158315298817941E-3</v>
      </c>
      <c r="E83">
        <f>(Prices!E1177/Prices!E1176)-1</f>
        <v>1.1980830670925702E-3</v>
      </c>
      <c r="F83">
        <f>(Prices!F1177/Prices!F1176)-1</f>
        <v>1.3444122864345154E-2</v>
      </c>
      <c r="G83">
        <f t="shared" si="4"/>
        <v>1.7306276513693361E-2</v>
      </c>
      <c r="H83" s="8">
        <f t="shared" si="7"/>
        <v>898848.8613237656</v>
      </c>
      <c r="I83" s="8">
        <f t="shared" si="5"/>
        <v>1000000</v>
      </c>
      <c r="J83" s="13">
        <f t="shared" si="6"/>
        <v>-0.1011511386762344</v>
      </c>
    </row>
    <row r="84" spans="1:10" x14ac:dyDescent="0.25">
      <c r="A84" s="5">
        <v>44575</v>
      </c>
      <c r="B84">
        <f>(Prices!B1176/Prices!B1175)-1</f>
        <v>-6.4413403777954237E-3</v>
      </c>
      <c r="C84">
        <f>(Prices!C1176/Prices!C1175)-1</f>
        <v>-1.740150880134117E-2</v>
      </c>
      <c r="D84">
        <f>(Prices!D1176/Prices!D1175)-1</f>
        <v>-1.7340094879764512E-2</v>
      </c>
      <c r="E84">
        <f>(Prices!E1176/Prices!E1175)-1</f>
        <v>6.5531914893617094E-2</v>
      </c>
      <c r="F84">
        <f>(Prices!F1176/Prices!F1175)-1</f>
        <v>-2.6769710654344081E-3</v>
      </c>
      <c r="G84">
        <f t="shared" si="4"/>
        <v>4.334399953856316E-3</v>
      </c>
      <c r="H84" s="8">
        <f t="shared" si="7"/>
        <v>902744.83178681112</v>
      </c>
      <c r="I84" s="8">
        <f t="shared" si="5"/>
        <v>1000000</v>
      </c>
      <c r="J84" s="13">
        <f t="shared" si="6"/>
        <v>-9.7255168213188886E-2</v>
      </c>
    </row>
    <row r="85" spans="1:10" x14ac:dyDescent="0.25">
      <c r="A85" s="6">
        <v>44579</v>
      </c>
      <c r="B85">
        <f>(Prices!B1175/Prices!B1174)-1</f>
        <v>2.5608669833729225E-2</v>
      </c>
      <c r="C85">
        <f>(Prices!C1175/Prices!C1174)-1</f>
        <v>2.4949310972885552E-2</v>
      </c>
      <c r="D85">
        <f>(Prices!D1175/Prices!D1174)-1</f>
        <v>-1.641190667739334E-2</v>
      </c>
      <c r="E85">
        <f>(Prices!E1175/Prices!E1174)-1</f>
        <v>4.3748612036420109E-2</v>
      </c>
      <c r="F85">
        <f>(Prices!F1175/Prices!F1174)-1</f>
        <v>1.6708872742763781E-2</v>
      </c>
      <c r="G85">
        <f t="shared" si="4"/>
        <v>1.8920711781681067E-2</v>
      </c>
      <c r="H85" s="8">
        <f t="shared" si="7"/>
        <v>919825.4065614515</v>
      </c>
      <c r="I85" s="8">
        <f t="shared" si="5"/>
        <v>1000000</v>
      </c>
      <c r="J85" s="13">
        <f t="shared" si="6"/>
        <v>-8.0174593438548505E-2</v>
      </c>
    </row>
    <row r="86" spans="1:10" x14ac:dyDescent="0.25">
      <c r="A86" s="5">
        <v>44580</v>
      </c>
      <c r="B86">
        <f>(Prices!B1174/Prices!B1173)-1</f>
        <v>6.5750149432157734E-3</v>
      </c>
      <c r="C86">
        <f>(Prices!C1174/Prices!C1173)-1</f>
        <v>-2.2629864563687985E-3</v>
      </c>
      <c r="D86">
        <f>(Prices!D1174/Prices!D1173)-1</f>
        <v>-4.8247024766812086E-4</v>
      </c>
      <c r="E86">
        <f>(Prices!E1174/Prices!E1173)-1</f>
        <v>1.5714285714285792E-2</v>
      </c>
      <c r="F86">
        <f>(Prices!F1174/Prices!F1173)-1</f>
        <v>-3.3024320052840173E-3</v>
      </c>
      <c r="G86">
        <f t="shared" si="4"/>
        <v>3.2482823896361262E-3</v>
      </c>
      <c r="H86" s="8">
        <f t="shared" si="7"/>
        <v>922813.25923112489</v>
      </c>
      <c r="I86" s="8">
        <f t="shared" si="5"/>
        <v>1000000</v>
      </c>
      <c r="J86" s="13">
        <f t="shared" si="6"/>
        <v>-7.7186740768875106E-2</v>
      </c>
    </row>
    <row r="87" spans="1:10" x14ac:dyDescent="0.25">
      <c r="A87" s="6">
        <v>44581</v>
      </c>
      <c r="B87">
        <f>(Prices!B1173/Prices!B1172)-1</f>
        <v>1.3555471412343811E-2</v>
      </c>
      <c r="C87">
        <f>(Prices!C1173/Prices!C1172)-1</f>
        <v>5.7590178633006861E-3</v>
      </c>
      <c r="D87">
        <f>(Prices!D1173/Prices!D1172)-1</f>
        <v>-2.24646983311938E-3</v>
      </c>
      <c r="E87">
        <f>(Prices!E1173/Prices!E1172)-1</f>
        <v>8.569045271858533E-3</v>
      </c>
      <c r="F87">
        <f>(Prices!F1173/Prices!F1172)-1</f>
        <v>-1.0368310672290715E-3</v>
      </c>
      <c r="G87">
        <f t="shared" si="4"/>
        <v>4.9200467294309158E-3</v>
      </c>
      <c r="H87" s="8">
        <f t="shared" si="7"/>
        <v>927353.54358908033</v>
      </c>
      <c r="I87" s="8">
        <f t="shared" si="5"/>
        <v>1000000</v>
      </c>
      <c r="J87" s="13">
        <f t="shared" si="6"/>
        <v>-7.2646456410919671E-2</v>
      </c>
    </row>
    <row r="88" spans="1:10" x14ac:dyDescent="0.25">
      <c r="A88" s="5">
        <v>44582</v>
      </c>
      <c r="B88">
        <f>(Prices!B1172/Prices!B1171)-1</f>
        <v>2.2692069392812986E-2</v>
      </c>
      <c r="C88">
        <f>(Prices!C1172/Prices!C1171)-1</f>
        <v>1.8796332080244671E-2</v>
      </c>
      <c r="D88">
        <f>(Prices!D1172/Prices!D1171)-1</f>
        <v>1.5314434669273291E-2</v>
      </c>
      <c r="E88">
        <f>(Prices!E1172/Prices!E1171)-1</f>
        <v>1.7829577029947474E-2</v>
      </c>
      <c r="F88">
        <f>(Prices!F1172/Prices!F1171)-1</f>
        <v>3.9507925242490138E-3</v>
      </c>
      <c r="G88">
        <f t="shared" si="4"/>
        <v>1.5716641139305487E-2</v>
      </c>
      <c r="H88" s="8">
        <f t="shared" si="7"/>
        <v>941928.42644293315</v>
      </c>
      <c r="I88" s="8">
        <f t="shared" si="5"/>
        <v>1000000</v>
      </c>
      <c r="J88" s="13">
        <f t="shared" si="6"/>
        <v>-5.8071573557066845E-2</v>
      </c>
    </row>
    <row r="89" spans="1:10" x14ac:dyDescent="0.25">
      <c r="A89" s="6">
        <v>44585</v>
      </c>
      <c r="B89">
        <f>(Prices!B1171/Prices!B1170)-1</f>
        <v>-3.4730261634636772E-3</v>
      </c>
      <c r="C89">
        <f>(Prices!C1171/Prices!C1170)-1</f>
        <v>-1.1230040357956828E-3</v>
      </c>
      <c r="D89">
        <f>(Prices!D1171/Prices!D1170)-1</f>
        <v>-8.5608140849618986E-3</v>
      </c>
      <c r="E89">
        <f>(Prices!E1171/Prices!E1170)-1</f>
        <v>8.4974893781386562E-4</v>
      </c>
      <c r="F89">
        <f>(Prices!F1171/Prices!F1170)-1</f>
        <v>-2.3837058365391295E-3</v>
      </c>
      <c r="G89">
        <f t="shared" si="4"/>
        <v>-2.9381602365893041E-3</v>
      </c>
      <c r="H89" s="8">
        <f t="shared" si="7"/>
        <v>939160.88979464537</v>
      </c>
      <c r="I89" s="8">
        <f t="shared" si="5"/>
        <v>1000000</v>
      </c>
      <c r="J89" s="13">
        <f t="shared" si="6"/>
        <v>-6.0839110205354638E-2</v>
      </c>
    </row>
    <row r="90" spans="1:10" x14ac:dyDescent="0.25">
      <c r="A90" s="5">
        <v>44586</v>
      </c>
      <c r="B90">
        <f>(Prices!B1170/Prices!B1169)-1</f>
        <v>3.0459678702083659E-2</v>
      </c>
      <c r="C90">
        <f>(Prices!C1170/Prices!C1169)-1</f>
        <v>2.729108082774534E-2</v>
      </c>
      <c r="D90">
        <f>(Prices!D1170/Prices!D1169)-1</f>
        <v>-2.855797897379575E-2</v>
      </c>
      <c r="E90">
        <f>(Prices!E1170/Prices!E1169)-1</f>
        <v>-1.0774873911050142E-2</v>
      </c>
      <c r="F90">
        <f>(Prices!F1170/Prices!F1169)-1</f>
        <v>1.1893105342344557E-2</v>
      </c>
      <c r="G90">
        <f t="shared" si="4"/>
        <v>6.0622023974655328E-3</v>
      </c>
      <c r="H90" s="8">
        <f t="shared" si="7"/>
        <v>944854.27319236426</v>
      </c>
      <c r="I90" s="8">
        <f t="shared" si="5"/>
        <v>1000000</v>
      </c>
      <c r="J90" s="13">
        <f t="shared" si="6"/>
        <v>-5.5145726807635742E-2</v>
      </c>
    </row>
    <row r="91" spans="1:10" x14ac:dyDescent="0.25">
      <c r="A91" s="6">
        <v>44587</v>
      </c>
      <c r="B91">
        <f>(Prices!B1169/Prices!B1168)-1</f>
        <v>-1.7732989610186656E-2</v>
      </c>
      <c r="C91">
        <f>(Prices!C1169/Prices!C1168)-1</f>
        <v>-2.7692091979809264E-2</v>
      </c>
      <c r="D91">
        <f>(Prices!D1169/Prices!D1168)-1</f>
        <v>1.0304375396322119E-2</v>
      </c>
      <c r="E91">
        <f>(Prices!E1169/Prices!E1168)-1</f>
        <v>-9.3868281604843062E-3</v>
      </c>
      <c r="F91">
        <f>(Prices!F1169/Prices!F1168)-1</f>
        <v>-3.4746186249077216E-3</v>
      </c>
      <c r="G91">
        <f t="shared" si="4"/>
        <v>-9.5964305958131657E-3</v>
      </c>
      <c r="H91" s="8">
        <f t="shared" si="7"/>
        <v>935787.0447365162</v>
      </c>
      <c r="I91" s="8">
        <f t="shared" si="5"/>
        <v>1000000</v>
      </c>
      <c r="J91" s="13">
        <f t="shared" si="6"/>
        <v>-6.4212955263483806E-2</v>
      </c>
    </row>
    <row r="92" spans="1:10" x14ac:dyDescent="0.25">
      <c r="A92" s="5">
        <v>44588</v>
      </c>
      <c r="B92">
        <f>(Prices!B1168/Prices!B1167)-1</f>
        <v>1.7215744580951764E-3</v>
      </c>
      <c r="C92">
        <f>(Prices!C1168/Prices!C1167)-1</f>
        <v>-1.0440875507301883E-2</v>
      </c>
      <c r="D92">
        <f>(Prices!D1168/Prices!D1167)-1</f>
        <v>-1.2678040381906452E-2</v>
      </c>
      <c r="E92">
        <f>(Prices!E1168/Prices!E1167)-1</f>
        <v>1.7954843184094793E-2</v>
      </c>
      <c r="F92">
        <f>(Prices!F1168/Prices!F1167)-1</f>
        <v>-6.8543335933252125E-3</v>
      </c>
      <c r="G92">
        <f t="shared" si="4"/>
        <v>-2.0593663680687161E-3</v>
      </c>
      <c r="H92" s="8">
        <f t="shared" si="7"/>
        <v>933859.91636891139</v>
      </c>
      <c r="I92" s="8">
        <f t="shared" si="5"/>
        <v>1000000</v>
      </c>
      <c r="J92" s="13">
        <f t="shared" si="6"/>
        <v>-6.6140083631088614E-2</v>
      </c>
    </row>
    <row r="93" spans="1:10" x14ac:dyDescent="0.25">
      <c r="A93" s="6">
        <v>44589</v>
      </c>
      <c r="B93">
        <f>(Prices!B1167/Prices!B1166)-1</f>
        <v>-3.2553561965326661E-2</v>
      </c>
      <c r="C93">
        <f>(Prices!C1167/Prices!C1166)-1</f>
        <v>-2.7328857248894889E-2</v>
      </c>
      <c r="D93">
        <f>(Prices!D1167/Prices!D1166)-1</f>
        <v>-2.1864750898016316E-3</v>
      </c>
      <c r="E93">
        <f>(Prices!E1167/Prices!E1166)-1</f>
        <v>-8.8596960207744102E-3</v>
      </c>
      <c r="F93">
        <f>(Prices!F1167/Prices!F1166)-1</f>
        <v>-9.5744182780093112E-3</v>
      </c>
      <c r="G93">
        <f t="shared" si="4"/>
        <v>-1.6100601720561384E-2</v>
      </c>
      <c r="H93" s="8">
        <f t="shared" si="7"/>
        <v>918824.2097926588</v>
      </c>
      <c r="I93" s="8">
        <f t="shared" si="5"/>
        <v>1000000</v>
      </c>
      <c r="J93" s="13">
        <f t="shared" si="6"/>
        <v>-8.1175790207341197E-2</v>
      </c>
    </row>
    <row r="94" spans="1:10" x14ac:dyDescent="0.25">
      <c r="A94" s="5">
        <v>44592</v>
      </c>
      <c r="B94">
        <f>(Prices!B1166/Prices!B1165)-1</f>
        <v>-1.44743714093859E-2</v>
      </c>
      <c r="C94">
        <f>(Prices!C1166/Prices!C1165)-1</f>
        <v>-8.7290969899666004E-3</v>
      </c>
      <c r="D94">
        <f>(Prices!D1166/Prices!D1165)-1</f>
        <v>-8.8235294117645635E-3</v>
      </c>
      <c r="E94">
        <f>(Prices!E1166/Prices!E1165)-1</f>
        <v>-1.3412704393037433E-2</v>
      </c>
      <c r="F94">
        <f>(Prices!F1166/Prices!F1165)-1</f>
        <v>-1.378275424217934E-2</v>
      </c>
      <c r="G94">
        <f t="shared" si="4"/>
        <v>-1.1844491289266767E-2</v>
      </c>
      <c r="H94" s="8">
        <f t="shared" si="7"/>
        <v>907941.20444340224</v>
      </c>
      <c r="I94" s="8">
        <f t="shared" si="5"/>
        <v>1000000</v>
      </c>
      <c r="J94" s="13">
        <f t="shared" si="6"/>
        <v>-9.2058795556597767E-2</v>
      </c>
    </row>
    <row r="95" spans="1:10" x14ac:dyDescent="0.25">
      <c r="A95" s="6">
        <v>44593</v>
      </c>
      <c r="B95">
        <f>(Prices!B1165/Prices!B1164)-1</f>
        <v>-1.7015034836816989E-2</v>
      </c>
      <c r="C95">
        <f>(Prices!C1165/Prices!C1164)-1</f>
        <v>7.1748576818135845E-3</v>
      </c>
      <c r="D95">
        <f>(Prices!D1165/Prices!D1164)-1</f>
        <v>-6.0363636363636397E-2</v>
      </c>
      <c r="E95">
        <f>(Prices!E1165/Prices!E1164)-1</f>
        <v>-1.6817306267595034E-2</v>
      </c>
      <c r="F95">
        <f>(Prices!F1165/Prices!F1164)-1</f>
        <v>8.8975846085761479E-3</v>
      </c>
      <c r="G95">
        <f t="shared" si="4"/>
        <v>-1.5624707035531739E-2</v>
      </c>
      <c r="H95" s="8">
        <f t="shared" si="7"/>
        <v>893754.8891184862</v>
      </c>
      <c r="I95" s="8">
        <f t="shared" si="5"/>
        <v>1000000</v>
      </c>
      <c r="J95" s="13">
        <f t="shared" si="6"/>
        <v>-0.1062451108815138</v>
      </c>
    </row>
    <row r="96" spans="1:10" x14ac:dyDescent="0.25">
      <c r="A96" s="5">
        <v>44594</v>
      </c>
      <c r="B96">
        <f>(Prices!B1164/Prices!B1163)-1</f>
        <v>-6.991814461118695E-2</v>
      </c>
      <c r="C96">
        <f>(Prices!C1164/Prices!C1163)-1</f>
        <v>-1.4997179733899579E-2</v>
      </c>
      <c r="D96">
        <f>(Prices!D1164/Prices!D1163)-1</f>
        <v>2.6250546886394943E-3</v>
      </c>
      <c r="E96">
        <f>(Prices!E1164/Prices!E1163)-1</f>
        <v>8.0657206870797804E-3</v>
      </c>
      <c r="F96">
        <f>(Prices!F1164/Prices!F1163)-1</f>
        <v>-2.3695281409891966E-2</v>
      </c>
      <c r="G96">
        <f t="shared" si="4"/>
        <v>-1.9583966075851847E-2</v>
      </c>
      <c r="H96" s="8">
        <f t="shared" si="7"/>
        <v>876251.62368986302</v>
      </c>
      <c r="I96" s="8">
        <f t="shared" si="5"/>
        <v>1000000</v>
      </c>
      <c r="J96" s="13">
        <f t="shared" si="6"/>
        <v>-0.12374837631013698</v>
      </c>
    </row>
    <row r="97" spans="1:10" x14ac:dyDescent="0.25">
      <c r="A97" s="6">
        <v>44595</v>
      </c>
      <c r="B97">
        <f>(Prices!B1163/Prices!B1162)-1</f>
        <v>3.4288133201636706E-2</v>
      </c>
      <c r="C97">
        <f>(Prices!C1163/Prices!C1162)-1</f>
        <v>4.0531676160883823E-2</v>
      </c>
      <c r="D97">
        <f>(Prices!D1163/Prices!D1162)-1</f>
        <v>1.1804633318577507E-2</v>
      </c>
      <c r="E97">
        <f>(Prices!E1163/Prices!E1162)-1</f>
        <v>8.2831325301204739E-3</v>
      </c>
      <c r="F97">
        <f>(Prices!F1163/Prices!F1162)-1</f>
        <v>-1.8393267706868444E-2</v>
      </c>
      <c r="G97">
        <f t="shared" si="4"/>
        <v>1.5302861500870013E-2</v>
      </c>
      <c r="H97" s="8">
        <f t="shared" si="7"/>
        <v>889660.78092710138</v>
      </c>
      <c r="I97" s="8">
        <f t="shared" si="5"/>
        <v>1000000</v>
      </c>
      <c r="J97" s="13">
        <f t="shared" si="6"/>
        <v>-0.11033921907289862</v>
      </c>
    </row>
    <row r="98" spans="1:10" x14ac:dyDescent="0.25">
      <c r="A98" s="5">
        <v>44596</v>
      </c>
      <c r="B98">
        <f>(Prices!B1162/Prices!B1161)-1</f>
        <v>-1.4090460758066081E-3</v>
      </c>
      <c r="C98">
        <f>(Prices!C1162/Prices!C1161)-1</f>
        <v>-1.533179222192016E-2</v>
      </c>
      <c r="D98">
        <f>(Prices!D1162/Prices!D1161)-1</f>
        <v>-2.1230502599653311E-2</v>
      </c>
      <c r="E98">
        <f>(Prices!E1162/Prices!E1161)-1</f>
        <v>-2.524955960070463E-2</v>
      </c>
      <c r="F98">
        <f>(Prices!F1162/Prices!F1161)-1</f>
        <v>1.1583796233572752E-2</v>
      </c>
      <c r="G98">
        <f t="shared" si="4"/>
        <v>-1.0327420852902391E-2</v>
      </c>
      <c r="H98" s="8">
        <f t="shared" si="7"/>
        <v>880472.87962614535</v>
      </c>
      <c r="I98" s="8">
        <f t="shared" si="5"/>
        <v>1000000</v>
      </c>
      <c r="J98" s="13">
        <f t="shared" si="6"/>
        <v>-0.11952712037385464</v>
      </c>
    </row>
    <row r="99" spans="1:10" x14ac:dyDescent="0.25">
      <c r="A99" s="6">
        <v>44599</v>
      </c>
      <c r="B99">
        <f>(Prices!B1161/Prices!B1160)-1</f>
        <v>2.937123794328822E-2</v>
      </c>
      <c r="C99">
        <f>(Prices!C1161/Prices!C1160)-1</f>
        <v>1.6588332872546241E-2</v>
      </c>
      <c r="D99">
        <f>(Prices!D1161/Prices!D1160)-1</f>
        <v>-1.1845297559583301E-2</v>
      </c>
      <c r="E99">
        <f>(Prices!E1161/Prices!E1160)-1</f>
        <v>-3.3650329188001926E-3</v>
      </c>
      <c r="F99">
        <f>(Prices!F1161/Prices!F1160)-1</f>
        <v>-1.1052216082102495E-3</v>
      </c>
      <c r="G99">
        <f t="shared" si="4"/>
        <v>5.9288037458481435E-3</v>
      </c>
      <c r="H99" s="8">
        <f t="shared" si="7"/>
        <v>885693.03053299047</v>
      </c>
      <c r="I99" s="8">
        <f t="shared" si="5"/>
        <v>1000000</v>
      </c>
      <c r="J99" s="13">
        <f t="shared" si="6"/>
        <v>-0.11430696946700954</v>
      </c>
    </row>
    <row r="100" spans="1:10" x14ac:dyDescent="0.25">
      <c r="A100" s="5">
        <v>44600</v>
      </c>
      <c r="B100">
        <f>(Prices!B1160/Prices!B1159)-1</f>
        <v>-1.4483307987545047E-3</v>
      </c>
      <c r="C100">
        <f>(Prices!C1160/Prices!C1159)-1</f>
        <v>-1.1849878769251698E-2</v>
      </c>
      <c r="D100">
        <f>(Prices!D1160/Prices!D1159)-1</f>
        <v>2.6516261353647597E-2</v>
      </c>
      <c r="E100">
        <f>(Prices!E1160/Prices!E1159)-1</f>
        <v>-1.8453363969268444E-2</v>
      </c>
      <c r="F100">
        <f>(Prices!F1160/Prices!F1159)-1</f>
        <v>-1.9679380873410701E-2</v>
      </c>
      <c r="G100">
        <f t="shared" si="4"/>
        <v>-4.9829386114075506E-3</v>
      </c>
      <c r="H100" s="8">
        <f t="shared" si="7"/>
        <v>881279.6765332931</v>
      </c>
      <c r="I100" s="8">
        <f t="shared" si="5"/>
        <v>1000000</v>
      </c>
      <c r="J100" s="13">
        <f t="shared" si="6"/>
        <v>-0.1187203234667069</v>
      </c>
    </row>
    <row r="101" spans="1:10" x14ac:dyDescent="0.25">
      <c r="A101" s="6">
        <v>44601</v>
      </c>
      <c r="B101">
        <f>(Prices!B1159/Prices!B1158)-1</f>
        <v>-1.5471267645800535E-2</v>
      </c>
      <c r="C101">
        <f>(Prices!C1159/Prices!C1158)-1</f>
        <v>-2.1355524363344869E-2</v>
      </c>
      <c r="D101">
        <f>(Prices!D1159/Prices!D1158)-1</f>
        <v>4.8579419991168216E-3</v>
      </c>
      <c r="E101">
        <f>(Prices!E1159/Prices!E1158)-1</f>
        <v>-4.1473006792991374E-3</v>
      </c>
      <c r="F101">
        <f>(Prices!F1159/Prices!F1158)-1</f>
        <v>-9.4184645712408477E-3</v>
      </c>
      <c r="G101">
        <f t="shared" si="4"/>
        <v>-9.1069230521137138E-3</v>
      </c>
      <c r="H101" s="8">
        <f t="shared" si="7"/>
        <v>873253.93033171271</v>
      </c>
      <c r="I101" s="8">
        <f t="shared" si="5"/>
        <v>1000000</v>
      </c>
      <c r="J101" s="13">
        <f t="shared" si="6"/>
        <v>-0.1267460696682873</v>
      </c>
    </row>
    <row r="102" spans="1:10" x14ac:dyDescent="0.25">
      <c r="A102" s="5">
        <v>44602</v>
      </c>
      <c r="B102">
        <f>(Prices!B1158/Prices!B1157)-1</f>
        <v>2.1484232757992716E-2</v>
      </c>
      <c r="C102">
        <f>(Prices!C1158/Prices!C1157)-1</f>
        <v>2.9202352698380007E-2</v>
      </c>
      <c r="D102">
        <f>(Prices!D1158/Prices!D1157)-1</f>
        <v>9.66111771700362E-3</v>
      </c>
      <c r="E102">
        <f>(Prices!E1158/Prices!E1157)-1</f>
        <v>4.1645724132977069E-3</v>
      </c>
      <c r="F102">
        <f>(Prices!F1158/Prices!F1157)-1</f>
        <v>2.3379359813503031E-2</v>
      </c>
      <c r="G102">
        <f t="shared" si="4"/>
        <v>1.757832708003542E-2</v>
      </c>
      <c r="H102" s="8">
        <f t="shared" si="7"/>
        <v>888604.27354301</v>
      </c>
      <c r="I102" s="8">
        <f t="shared" si="5"/>
        <v>1000000</v>
      </c>
      <c r="J102" s="13">
        <f t="shared" si="6"/>
        <v>-0.11139572645699</v>
      </c>
    </row>
    <row r="103" spans="1:10" x14ac:dyDescent="0.25">
      <c r="A103" s="6">
        <v>44603</v>
      </c>
      <c r="B103">
        <f>(Prices!B1157/Prices!B1156)-1</f>
        <v>3.2250789354984155E-2</v>
      </c>
      <c r="C103">
        <f>(Prices!C1157/Prices!C1156)-1</f>
        <v>2.4851945854484025E-2</v>
      </c>
      <c r="D103">
        <f>(Prices!D1157/Prices!D1156)-1</f>
        <v>-2.4644824586836811E-2</v>
      </c>
      <c r="E103">
        <f>(Prices!E1157/Prices!E1156)-1</f>
        <v>1.3167466899461688E-2</v>
      </c>
      <c r="F103">
        <f>(Prices!F1157/Prices!F1156)-1</f>
        <v>1.7981014968966758E-2</v>
      </c>
      <c r="G103">
        <f t="shared" si="4"/>
        <v>1.2721278498211964E-2</v>
      </c>
      <c r="H103" s="8">
        <f t="shared" si="7"/>
        <v>899908.45598145202</v>
      </c>
      <c r="I103" s="8">
        <f t="shared" si="5"/>
        <v>1000000</v>
      </c>
      <c r="J103" s="13">
        <f t="shared" si="6"/>
        <v>-0.10009154401854799</v>
      </c>
    </row>
    <row r="104" spans="1:10" x14ac:dyDescent="0.25">
      <c r="A104" s="5">
        <v>44606</v>
      </c>
      <c r="B104">
        <f>(Prices!B1156/Prices!B1155)-1</f>
        <v>-9.1620111731842702E-3</v>
      </c>
      <c r="C104">
        <f>(Prices!C1156/Prices!C1155)-1</f>
        <v>1.410238330279423E-4</v>
      </c>
      <c r="D104">
        <f>(Prices!D1156/Prices!D1155)-1</f>
        <v>1.5606595995288686E-2</v>
      </c>
      <c r="E104">
        <f>(Prices!E1156/Prices!E1155)-1</f>
        <v>9.399324423557065E-3</v>
      </c>
      <c r="F104">
        <f>(Prices!F1156/Prices!F1155)-1</f>
        <v>7.8653235821719569E-3</v>
      </c>
      <c r="G104">
        <f t="shared" si="4"/>
        <v>4.7700513321722766E-3</v>
      </c>
      <c r="H104" s="8">
        <f t="shared" si="7"/>
        <v>904201.06551073946</v>
      </c>
      <c r="I104" s="8">
        <f t="shared" si="5"/>
        <v>1000000</v>
      </c>
      <c r="J104" s="13">
        <f t="shared" si="6"/>
        <v>-9.5798934489260551E-2</v>
      </c>
    </row>
    <row r="105" spans="1:10" x14ac:dyDescent="0.25">
      <c r="A105" s="6">
        <v>44607</v>
      </c>
      <c r="B105">
        <f>(Prices!B1155/Prices!B1154)-1</f>
        <v>-7.907182973691973E-3</v>
      </c>
      <c r="C105">
        <f>(Prices!C1155/Prices!C1154)-1</f>
        <v>-1.8206992038767744E-2</v>
      </c>
      <c r="D105">
        <f>(Prices!D1155/Prices!D1154)-1</f>
        <v>1.2673326375428839E-2</v>
      </c>
      <c r="E105">
        <f>(Prices!E1155/Prices!E1154)-1</f>
        <v>-1.4402547586306547E-2</v>
      </c>
      <c r="F105">
        <f>(Prices!F1155/Prices!F1154)-1</f>
        <v>-8.0076654575319539E-3</v>
      </c>
      <c r="G105">
        <f t="shared" si="4"/>
        <v>-7.1702123361738757E-3</v>
      </c>
      <c r="H105" s="8">
        <f t="shared" si="7"/>
        <v>897717.7518764328</v>
      </c>
      <c r="I105" s="8">
        <f t="shared" si="5"/>
        <v>1000000</v>
      </c>
      <c r="J105" s="13">
        <f t="shared" si="6"/>
        <v>-0.1022822481235672</v>
      </c>
    </row>
    <row r="106" spans="1:10" x14ac:dyDescent="0.25">
      <c r="A106" s="5">
        <v>44608</v>
      </c>
      <c r="B106">
        <f>(Prices!B1154/Prices!B1153)-1</f>
        <v>-8.2087364409264563E-3</v>
      </c>
      <c r="C106">
        <f>(Prices!C1154/Prices!C1153)-1</f>
        <v>1.1782644857221136E-3</v>
      </c>
      <c r="D106">
        <f>(Prices!D1154/Prices!D1153)-1</f>
        <v>-4.6007717423568462E-3</v>
      </c>
      <c r="E106">
        <f>(Prices!E1154/Prices!E1153)-1</f>
        <v>-1.8060973847709993E-3</v>
      </c>
      <c r="F106">
        <f>(Prices!F1154/Prices!F1153)-1</f>
        <v>-3.7954545454546018E-3</v>
      </c>
      <c r="G106">
        <f t="shared" si="4"/>
        <v>-3.446559125557358E-3</v>
      </c>
      <c r="H106" s="8">
        <f t="shared" si="7"/>
        <v>894623.71456652822</v>
      </c>
      <c r="I106" s="8">
        <f t="shared" si="5"/>
        <v>1000000</v>
      </c>
      <c r="J106" s="13">
        <f t="shared" si="6"/>
        <v>-0.10537628543347179</v>
      </c>
    </row>
    <row r="107" spans="1:10" x14ac:dyDescent="0.25">
      <c r="A107" s="6">
        <v>44609</v>
      </c>
      <c r="B107">
        <f>(Prices!B1153/Prices!B1152)-1</f>
        <v>3.9226140604768034E-2</v>
      </c>
      <c r="C107">
        <f>(Prices!C1153/Prices!C1152)-1</f>
        <v>3.0166720217057463E-2</v>
      </c>
      <c r="D107">
        <f>(Prices!D1153/Prices!D1152)-1</f>
        <v>1.6352014270848425E-3</v>
      </c>
      <c r="E107">
        <f>(Prices!E1153/Prices!E1152)-1</f>
        <v>2.3589440212970381E-2</v>
      </c>
      <c r="F107">
        <f>(Prices!F1153/Prices!F1152)-1</f>
        <v>2.0644861980978924E-2</v>
      </c>
      <c r="G107">
        <f t="shared" si="4"/>
        <v>2.3052472888571932E-2</v>
      </c>
      <c r="H107" s="8">
        <f t="shared" si="7"/>
        <v>915247.00349204661</v>
      </c>
      <c r="I107" s="8">
        <f t="shared" si="5"/>
        <v>1000000</v>
      </c>
      <c r="J107" s="13">
        <f t="shared" si="6"/>
        <v>-8.4752996507953385E-2</v>
      </c>
    </row>
    <row r="108" spans="1:10" x14ac:dyDescent="0.25">
      <c r="A108" s="5">
        <v>44610</v>
      </c>
      <c r="B108">
        <f>(Prices!B1152/Prices!B1151)-1</f>
        <v>1.6412479677943903E-2</v>
      </c>
      <c r="C108">
        <f>(Prices!C1152/Prices!C1151)-1</f>
        <v>9.7328863415160338E-3</v>
      </c>
      <c r="D108">
        <f>(Prices!D1152/Prices!D1151)-1</f>
        <v>1.1274804570054142E-2</v>
      </c>
      <c r="E108">
        <f>(Prices!E1152/Prices!E1151)-1</f>
        <v>-4.7103849267683406E-3</v>
      </c>
      <c r="F108">
        <f>(Prices!F1152/Prices!F1151)-1</f>
        <v>5.4107001259389165E-3</v>
      </c>
      <c r="G108">
        <f t="shared" si="4"/>
        <v>7.624097157736931E-3</v>
      </c>
      <c r="H108" s="8">
        <f t="shared" si="7"/>
        <v>922224.93556999741</v>
      </c>
      <c r="I108" s="8">
        <f t="shared" si="5"/>
        <v>1000000</v>
      </c>
      <c r="J108" s="13">
        <f t="shared" si="6"/>
        <v>-7.7775064430002594E-2</v>
      </c>
    </row>
    <row r="109" spans="1:10" x14ac:dyDescent="0.25">
      <c r="A109" s="6">
        <v>44614</v>
      </c>
      <c r="B109">
        <f>(Prices!B1151/Prices!B1150)-1</f>
        <v>4.510459600279848E-3</v>
      </c>
      <c r="C109">
        <f>(Prices!C1151/Prices!C1150)-1</f>
        <v>7.2147469427519262E-4</v>
      </c>
      <c r="D109">
        <f>(Prices!D1151/Prices!D1150)-1</f>
        <v>1.1711026615969455E-2</v>
      </c>
      <c r="E109">
        <f>(Prices!E1151/Prices!E1150)-1</f>
        <v>1.7695200176952586E-3</v>
      </c>
      <c r="F109">
        <f>(Prices!F1151/Prices!F1150)-1</f>
        <v>1.1440568018304731E-2</v>
      </c>
      <c r="G109">
        <f t="shared" si="4"/>
        <v>6.0306097893048976E-3</v>
      </c>
      <c r="H109" s="8">
        <f t="shared" si="7"/>
        <v>927786.51429438684</v>
      </c>
      <c r="I109" s="8">
        <f t="shared" si="5"/>
        <v>1000000</v>
      </c>
      <c r="J109" s="13">
        <f t="shared" si="6"/>
        <v>-7.2213485705613159E-2</v>
      </c>
    </row>
    <row r="110" spans="1:10" x14ac:dyDescent="0.25">
      <c r="A110" s="5">
        <v>44615</v>
      </c>
      <c r="B110">
        <f>(Prices!B1150/Prices!B1149)-1</f>
        <v>1.7406440382941701E-2</v>
      </c>
      <c r="C110">
        <f>(Prices!C1150/Prices!C1149)-1</f>
        <v>2.6589638188349474E-2</v>
      </c>
      <c r="D110">
        <f>(Prices!D1150/Prices!D1149)-1</f>
        <v>-4.0896697970311813E-3</v>
      </c>
      <c r="E110">
        <f>(Prices!E1150/Prices!E1149)-1</f>
        <v>2.1387152647036611E-2</v>
      </c>
      <c r="F110">
        <f>(Prices!F1150/Prices!F1149)-1</f>
        <v>6.2903532092670744E-3</v>
      </c>
      <c r="G110">
        <f t="shared" si="4"/>
        <v>1.3516782926112737E-2</v>
      </c>
      <c r="H110" s="8">
        <f t="shared" si="7"/>
        <v>940327.20320987876</v>
      </c>
      <c r="I110" s="8">
        <f t="shared" si="5"/>
        <v>1000000</v>
      </c>
      <c r="J110" s="13">
        <f t="shared" si="6"/>
        <v>-5.9672796790121239E-2</v>
      </c>
    </row>
    <row r="111" spans="1:10" x14ac:dyDescent="0.25">
      <c r="A111" s="6">
        <v>44616</v>
      </c>
      <c r="B111">
        <f>(Prices!B1149/Prices!B1148)-1</f>
        <v>-3.8420572124163055E-2</v>
      </c>
      <c r="C111">
        <f>(Prices!C1149/Prices!C1148)-1</f>
        <v>-4.8620653207906206E-2</v>
      </c>
      <c r="D111">
        <f>(Prices!D1149/Prices!D1148)-1</f>
        <v>1.2887388769561081E-2</v>
      </c>
      <c r="E111">
        <f>(Prices!E1149/Prices!E1148)-1</f>
        <v>2.8662173677279412E-2</v>
      </c>
      <c r="F111">
        <f>(Prices!F1149/Prices!F1148)-1</f>
        <v>8.1845594218157292E-3</v>
      </c>
      <c r="G111">
        <f t="shared" si="4"/>
        <v>-7.4614206926826099E-3</v>
      </c>
      <c r="H111" s="8">
        <f t="shared" si="7"/>
        <v>933311.02635795623</v>
      </c>
      <c r="I111" s="8">
        <f t="shared" si="5"/>
        <v>1000000</v>
      </c>
      <c r="J111" s="13">
        <f t="shared" si="6"/>
        <v>-6.6688973642043764E-2</v>
      </c>
    </row>
    <row r="112" spans="1:10" x14ac:dyDescent="0.25">
      <c r="A112" s="5">
        <v>44617</v>
      </c>
      <c r="B112">
        <f>(Prices!B1148/Prices!B1147)-1</f>
        <v>-1.3139124558900872E-2</v>
      </c>
      <c r="C112">
        <f>(Prices!C1148/Prices!C1147)-1</f>
        <v>-9.1464478966660767E-3</v>
      </c>
      <c r="D112">
        <f>(Prices!D1148/Prices!D1147)-1</f>
        <v>-2.6292201971915063E-2</v>
      </c>
      <c r="E112">
        <f>(Prices!E1148/Prices!E1147)-1</f>
        <v>-2.3081580142273239E-2</v>
      </c>
      <c r="F112">
        <f>(Prices!F1148/Prices!F1147)-1</f>
        <v>-4.1737375590515047E-2</v>
      </c>
      <c r="G112">
        <f t="shared" si="4"/>
        <v>-2.267934603205406E-2</v>
      </c>
      <c r="H112" s="8">
        <f t="shared" si="7"/>
        <v>912144.14263565268</v>
      </c>
      <c r="I112" s="8">
        <f t="shared" si="5"/>
        <v>1000000</v>
      </c>
      <c r="J112" s="13">
        <f t="shared" si="6"/>
        <v>-8.7855857364347326E-2</v>
      </c>
    </row>
    <row r="113" spans="1:10" x14ac:dyDescent="0.25">
      <c r="A113" s="6">
        <v>44620</v>
      </c>
      <c r="B113">
        <f>(Prices!B1147/Prices!B1146)-1</f>
        <v>-4.4102257437584891E-3</v>
      </c>
      <c r="C113">
        <f>(Prices!C1147/Prices!C1146)-1</f>
        <v>-4.9673475059052175E-3</v>
      </c>
      <c r="D113">
        <f>(Prices!D1147/Prices!D1146)-1</f>
        <v>-7.4139976275207076E-3</v>
      </c>
      <c r="E113">
        <f>(Prices!E1147/Prices!E1146)-1</f>
        <v>4.3512595751401761E-2</v>
      </c>
      <c r="F113">
        <f>(Prices!F1147/Prices!F1146)-1</f>
        <v>-2.5219524497333001E-4</v>
      </c>
      <c r="G113">
        <f t="shared" si="4"/>
        <v>5.2937659258488036E-3</v>
      </c>
      <c r="H113" s="8">
        <f t="shared" si="7"/>
        <v>916972.82021739986</v>
      </c>
      <c r="I113" s="8">
        <f t="shared" si="5"/>
        <v>1000000</v>
      </c>
      <c r="J113" s="13">
        <f t="shared" si="6"/>
        <v>-8.3027179782600144E-2</v>
      </c>
    </row>
    <row r="114" spans="1:10" x14ac:dyDescent="0.25">
      <c r="A114" s="5">
        <v>44621</v>
      </c>
      <c r="B114">
        <f>(Prices!B1146/Prices!B1145)-1</f>
        <v>7.379518072289093E-3</v>
      </c>
      <c r="C114">
        <f>(Prices!C1146/Prices!C1145)-1</f>
        <v>1.3019916954043254E-2</v>
      </c>
      <c r="D114">
        <f>(Prices!D1146/Prices!D1145)-1</f>
        <v>-9.4007050528789327E-3</v>
      </c>
      <c r="E114">
        <f>(Prices!E1146/Prices!E1145)-1</f>
        <v>3.9143279172821233E-2</v>
      </c>
      <c r="F114">
        <f>(Prices!F1146/Prices!F1145)-1</f>
        <v>-8.0179602309160547E-4</v>
      </c>
      <c r="G114">
        <f t="shared" si="4"/>
        <v>9.8680426246366068E-3</v>
      </c>
      <c r="H114" s="8">
        <f t="shared" si="7"/>
        <v>926021.54709293845</v>
      </c>
      <c r="I114" s="8">
        <f t="shared" si="5"/>
        <v>1000000</v>
      </c>
      <c r="J114" s="13">
        <f t="shared" si="6"/>
        <v>-7.3978452907061551E-2</v>
      </c>
    </row>
    <row r="115" spans="1:10" x14ac:dyDescent="0.25">
      <c r="A115" s="6">
        <v>44622</v>
      </c>
      <c r="B115">
        <f>(Prices!B1145/Prices!B1144)-1</f>
        <v>-3.7509377344335793E-3</v>
      </c>
      <c r="C115">
        <f>(Prices!C1145/Prices!C1144)-1</f>
        <v>-1.7426180762049714E-2</v>
      </c>
      <c r="D115">
        <f>(Prices!D1145/Prices!D1144)-1</f>
        <v>-1.6895306859205816E-2</v>
      </c>
      <c r="E115">
        <f>(Prices!E1145/Prices!E1144)-1</f>
        <v>-2.0260492040520939E-2</v>
      </c>
      <c r="F115">
        <f>(Prices!F1145/Prices!F1144)-1</f>
        <v>-1.8813639326575093E-2</v>
      </c>
      <c r="G115">
        <f t="shared" si="4"/>
        <v>-1.542931134455703E-2</v>
      </c>
      <c r="H115" s="8">
        <f t="shared" si="7"/>
        <v>911733.67233107309</v>
      </c>
      <c r="I115" s="8">
        <f t="shared" si="5"/>
        <v>1000000</v>
      </c>
      <c r="J115" s="13">
        <f t="shared" si="6"/>
        <v>-8.8266327668926906E-2</v>
      </c>
    </row>
    <row r="116" spans="1:10" x14ac:dyDescent="0.25">
      <c r="A116" s="5">
        <v>44623</v>
      </c>
      <c r="B116">
        <f>(Prices!B1144/Prices!B1143)-1</f>
        <v>4.9758745476480293E-3</v>
      </c>
      <c r="C116">
        <f>(Prices!C1144/Prices!C1143)-1</f>
        <v>1.4415488758724671E-2</v>
      </c>
      <c r="D116">
        <f>(Prices!D1144/Prices!D1143)-1</f>
        <v>-6.3136748457454095E-3</v>
      </c>
      <c r="E116">
        <f>(Prices!E1144/Prices!E1143)-1</f>
        <v>7.1255060728745434E-3</v>
      </c>
      <c r="F116">
        <f>(Prices!F1144/Prices!F1143)-1</f>
        <v>-2.4887892376681542E-3</v>
      </c>
      <c r="G116">
        <f t="shared" si="4"/>
        <v>3.5428810591667361E-3</v>
      </c>
      <c r="H116" s="8">
        <f t="shared" si="7"/>
        <v>914963.83628977928</v>
      </c>
      <c r="I116" s="8">
        <f t="shared" si="5"/>
        <v>1000000</v>
      </c>
      <c r="J116" s="13">
        <f t="shared" si="6"/>
        <v>-8.5036163710220714E-2</v>
      </c>
    </row>
    <row r="117" spans="1:10" x14ac:dyDescent="0.25">
      <c r="A117" s="6">
        <v>44624</v>
      </c>
      <c r="B117">
        <f>(Prices!B1143/Prices!B1142)-1</f>
        <v>1.5153834379304953E-2</v>
      </c>
      <c r="C117">
        <f>(Prices!C1143/Prices!C1142)-1</f>
        <v>2.0911662548787957E-2</v>
      </c>
      <c r="D117">
        <f>(Prices!D1143/Prices!D1142)-1</f>
        <v>-3.6232886184483504E-2</v>
      </c>
      <c r="E117">
        <f>(Prices!E1143/Prices!E1142)-1</f>
        <v>2.8909439306839868E-2</v>
      </c>
      <c r="F117">
        <f>(Prices!F1143/Prices!F1142)-1</f>
        <v>-2.4176785909637899E-2</v>
      </c>
      <c r="G117">
        <f t="shared" si="4"/>
        <v>9.1305282816227587E-4</v>
      </c>
      <c r="H117" s="8">
        <f t="shared" si="7"/>
        <v>915799.24660816987</v>
      </c>
      <c r="I117" s="8">
        <f t="shared" si="5"/>
        <v>1000000</v>
      </c>
      <c r="J117" s="13">
        <f t="shared" si="6"/>
        <v>-8.4200753391830141E-2</v>
      </c>
    </row>
    <row r="118" spans="1:10" x14ac:dyDescent="0.25">
      <c r="A118" s="5">
        <v>44627</v>
      </c>
      <c r="B118">
        <f>(Prices!B1142/Prices!B1141)-1</f>
        <v>4.3693585749660535E-2</v>
      </c>
      <c r="C118">
        <f>(Prices!C1142/Prices!C1141)-1</f>
        <v>3.9260196487049592E-2</v>
      </c>
      <c r="D118">
        <f>(Prices!D1142/Prices!D1141)-1</f>
        <v>-3.4837159636946113E-2</v>
      </c>
      <c r="E118">
        <f>(Prices!E1142/Prices!E1141)-1</f>
        <v>4.0211456798682654E-2</v>
      </c>
      <c r="F118">
        <f>(Prices!F1142/Prices!F1141)-1</f>
        <v>2.420168067226891E-2</v>
      </c>
      <c r="G118">
        <f t="shared" si="4"/>
        <v>2.2505952014143113E-2</v>
      </c>
      <c r="H118" s="8">
        <f t="shared" si="7"/>
        <v>936410.18050692172</v>
      </c>
      <c r="I118" s="8">
        <f t="shared" si="5"/>
        <v>1000000</v>
      </c>
      <c r="J118" s="13">
        <f t="shared" si="6"/>
        <v>-6.3589819493078278E-2</v>
      </c>
    </row>
    <row r="119" spans="1:10" x14ac:dyDescent="0.25">
      <c r="A119" s="6">
        <v>44628</v>
      </c>
      <c r="B119">
        <f>(Prices!B1141/Prices!B1140)-1</f>
        <v>-5.718370264474637E-3</v>
      </c>
      <c r="C119">
        <f>(Prices!C1141/Prices!C1140)-1</f>
        <v>1.1099823155360067E-2</v>
      </c>
      <c r="D119">
        <f>(Prices!D1141/Prices!D1140)-1</f>
        <v>-7.5506689627764523E-3</v>
      </c>
      <c r="E119">
        <f>(Prices!E1141/Prices!E1140)-1</f>
        <v>7.0692965613545766E-3</v>
      </c>
      <c r="F119">
        <f>(Prices!F1141/Prices!F1140)-1</f>
        <v>2.8320582542169737E-2</v>
      </c>
      <c r="G119">
        <f t="shared" si="4"/>
        <v>6.6441326063266587E-3</v>
      </c>
      <c r="H119" s="8">
        <f t="shared" si="7"/>
        <v>942631.81392012397</v>
      </c>
      <c r="I119" s="8">
        <f t="shared" si="5"/>
        <v>1000000</v>
      </c>
      <c r="J119" s="13">
        <f t="shared" si="6"/>
        <v>-5.7368186079876031E-2</v>
      </c>
    </row>
    <row r="120" spans="1:10" x14ac:dyDescent="0.25">
      <c r="A120" s="5">
        <v>44629</v>
      </c>
      <c r="B120">
        <f>(Prices!B1140/Prices!B1139)-1</f>
        <v>-4.7291162227602879E-2</v>
      </c>
      <c r="C120">
        <f>(Prices!C1140/Prices!C1139)-1</f>
        <v>-4.3855230968484649E-2</v>
      </c>
      <c r="D120">
        <f>(Prices!D1140/Prices!D1139)-1</f>
        <v>6.0401741817670995E-2</v>
      </c>
      <c r="E120">
        <f>(Prices!E1140/Prices!E1139)-1</f>
        <v>-3.8516405135520682E-2</v>
      </c>
      <c r="F120">
        <f>(Prices!F1140/Prices!F1139)-1</f>
        <v>-2.4940457466409049E-2</v>
      </c>
      <c r="G120">
        <f t="shared" si="4"/>
        <v>-1.8840302796069255E-2</v>
      </c>
      <c r="H120" s="8">
        <f t="shared" si="7"/>
        <v>924872.34512066073</v>
      </c>
      <c r="I120" s="8">
        <f t="shared" si="5"/>
        <v>1000000</v>
      </c>
      <c r="J120" s="13">
        <f t="shared" si="6"/>
        <v>-7.512765487933927E-2</v>
      </c>
    </row>
    <row r="121" spans="1:10" x14ac:dyDescent="0.25">
      <c r="A121" s="6">
        <v>44630</v>
      </c>
      <c r="B121">
        <f>(Prices!B1139/Prices!B1138)-1</f>
        <v>7.4706510138740079E-3</v>
      </c>
      <c r="C121">
        <f>(Prices!C1139/Prices!C1138)-1</f>
        <v>1.0175897659543409E-2</v>
      </c>
      <c r="D121">
        <f>(Prices!D1139/Prices!D1138)-1</f>
        <v>-3.0108991825613218E-2</v>
      </c>
      <c r="E121">
        <f>(Prices!E1139/Prices!E1138)-1</f>
        <v>1.1973505434782483E-2</v>
      </c>
      <c r="F121">
        <f>(Prices!F1139/Prices!F1138)-1</f>
        <v>-1.1943877097948641E-2</v>
      </c>
      <c r="G121">
        <f t="shared" si="4"/>
        <v>-2.4865629630723921E-3</v>
      </c>
      <c r="H121" s="8">
        <f t="shared" si="7"/>
        <v>922572.5918017138</v>
      </c>
      <c r="I121" s="8">
        <f t="shared" si="5"/>
        <v>1000000</v>
      </c>
      <c r="J121" s="13">
        <f t="shared" si="6"/>
        <v>-7.7427408198286196E-2</v>
      </c>
    </row>
    <row r="122" spans="1:10" x14ac:dyDescent="0.25">
      <c r="A122" s="5">
        <v>44631</v>
      </c>
      <c r="B122">
        <f>(Prices!B1138/Prices!B1137)-1</f>
        <v>1.9665759813447314E-2</v>
      </c>
      <c r="C122">
        <f>(Prices!C1138/Prices!C1137)-1</f>
        <v>1.9715386895938547E-2</v>
      </c>
      <c r="D122">
        <f>(Prices!D1138/Prices!D1137)-1</f>
        <v>5.0664110639464521E-3</v>
      </c>
      <c r="E122">
        <f>(Prices!E1138/Prices!E1137)-1</f>
        <v>2.3110338835795163E-2</v>
      </c>
      <c r="F122">
        <f>(Prices!F1138/Prices!F1137)-1</f>
        <v>1.4733047983780168E-2</v>
      </c>
      <c r="G122">
        <f t="shared" si="4"/>
        <v>1.6458188918581529E-2</v>
      </c>
      <c r="H122" s="8">
        <f t="shared" si="7"/>
        <v>937756.46580869181</v>
      </c>
      <c r="I122" s="8">
        <f t="shared" si="5"/>
        <v>1000000</v>
      </c>
      <c r="J122" s="13">
        <f t="shared" si="6"/>
        <v>-6.2243534191308195E-2</v>
      </c>
    </row>
    <row r="123" spans="1:10" x14ac:dyDescent="0.25">
      <c r="A123" s="6">
        <v>44634</v>
      </c>
      <c r="B123">
        <f>(Prices!B1137/Prices!B1136)-1</f>
        <v>3.117986534145567E-2</v>
      </c>
      <c r="C123">
        <f>(Prices!C1137/Prices!C1136)-1</f>
        <v>1.3141097844860061E-2</v>
      </c>
      <c r="D123">
        <f>(Prices!D1137/Prices!D1136)-1</f>
        <v>3.7210623490981476E-2</v>
      </c>
      <c r="E123">
        <f>(Prices!E1137/Prices!E1136)-1</f>
        <v>-9.8924731182795655E-3</v>
      </c>
      <c r="F123">
        <f>(Prices!F1137/Prices!F1136)-1</f>
        <v>-1.034467383065063E-2</v>
      </c>
      <c r="G123">
        <f t="shared" si="4"/>
        <v>1.2258887945673404E-2</v>
      </c>
      <c r="H123" s="8">
        <f t="shared" si="7"/>
        <v>949252.31724337116</v>
      </c>
      <c r="I123" s="8">
        <f t="shared" si="5"/>
        <v>1000000</v>
      </c>
      <c r="J123" s="13">
        <f t="shared" si="6"/>
        <v>-5.0747682756628838E-2</v>
      </c>
    </row>
    <row r="124" spans="1:10" x14ac:dyDescent="0.25">
      <c r="A124" s="5">
        <v>44635</v>
      </c>
      <c r="B124">
        <f>(Prices!B1136/Prices!B1135)-1</f>
        <v>-2.5160181278324756E-2</v>
      </c>
      <c r="C124">
        <f>(Prices!C1136/Prices!C1135)-1</f>
        <v>-3.7302103665148745E-2</v>
      </c>
      <c r="D124">
        <f>(Prices!D1136/Prices!D1135)-1</f>
        <v>6.0391566265060037E-2</v>
      </c>
      <c r="E124">
        <f>(Prices!E1136/Prices!E1135)-1</f>
        <v>-1.7411884033471381E-2</v>
      </c>
      <c r="F124">
        <f>(Prices!F1136/Prices!F1135)-1</f>
        <v>-2.0055929389146243E-2</v>
      </c>
      <c r="G124">
        <f t="shared" si="4"/>
        <v>-7.9077064202062192E-3</v>
      </c>
      <c r="H124" s="8">
        <f t="shared" si="7"/>
        <v>941745.90859991009</v>
      </c>
      <c r="I124" s="8">
        <f t="shared" si="5"/>
        <v>1000000</v>
      </c>
      <c r="J124" s="13">
        <f t="shared" si="6"/>
        <v>-5.8254091400089907E-2</v>
      </c>
    </row>
    <row r="125" spans="1:10" x14ac:dyDescent="0.25">
      <c r="A125" s="6">
        <v>44636</v>
      </c>
      <c r="B125">
        <f>(Prices!B1135/Prices!B1134)-1</f>
        <v>-3.060142402666266E-2</v>
      </c>
      <c r="C125">
        <f>(Prices!C1135/Prices!C1134)-1</f>
        <v>-2.4608658863347732E-2</v>
      </c>
      <c r="D125">
        <f>(Prices!D1135/Prices!D1134)-1</f>
        <v>3.7792894935753107E-3</v>
      </c>
      <c r="E125">
        <f>(Prices!E1135/Prices!E1134)-1</f>
        <v>-4.2799352750809039E-2</v>
      </c>
      <c r="F125">
        <f>(Prices!F1135/Prices!F1134)-1</f>
        <v>-6.9862894070382708E-4</v>
      </c>
      <c r="G125">
        <f t="shared" si="4"/>
        <v>-1.8985755017589586E-2</v>
      </c>
      <c r="H125" s="8">
        <f t="shared" si="7"/>
        <v>923866.15149041486</v>
      </c>
      <c r="I125" s="8">
        <f t="shared" si="5"/>
        <v>1000000</v>
      </c>
      <c r="J125" s="13">
        <f t="shared" si="6"/>
        <v>-7.6133848509585142E-2</v>
      </c>
    </row>
    <row r="126" spans="1:10" x14ac:dyDescent="0.25">
      <c r="A126" s="5">
        <v>44637</v>
      </c>
      <c r="B126">
        <f>(Prices!B1134/Prices!B1133)-1</f>
        <v>-4.2238648363253084E-3</v>
      </c>
      <c r="C126">
        <f>(Prices!C1134/Prices!C1133)-1</f>
        <v>-2.8125439459991686E-3</v>
      </c>
      <c r="D126">
        <f>(Prices!D1134/Prices!D1133)-1</f>
        <v>-2.6060070671378055E-2</v>
      </c>
      <c r="E126">
        <f>(Prices!E1134/Prices!E1133)-1</f>
        <v>-1.2464046021092967E-2</v>
      </c>
      <c r="F126">
        <f>(Prices!F1134/Prices!F1133)-1</f>
        <v>-1.7292426517914627E-2</v>
      </c>
      <c r="G126">
        <f t="shared" si="4"/>
        <v>-1.2570590398542025E-2</v>
      </c>
      <c r="H126" s="8">
        <f t="shared" si="7"/>
        <v>912252.60851695144</v>
      </c>
      <c r="I126" s="8">
        <f t="shared" si="5"/>
        <v>1000000</v>
      </c>
      <c r="J126" s="13">
        <f t="shared" si="6"/>
        <v>-8.7747391483048554E-2</v>
      </c>
    </row>
    <row r="127" spans="1:10" x14ac:dyDescent="0.25">
      <c r="A127" s="6">
        <v>44638</v>
      </c>
      <c r="B127">
        <f>(Prices!B1133/Prices!B1132)-1</f>
        <v>-1.6760605161672992E-2</v>
      </c>
      <c r="C127">
        <f>(Prices!C1133/Prices!C1132)-1</f>
        <v>-1.7342638015615197E-2</v>
      </c>
      <c r="D127">
        <f>(Prices!D1133/Prices!D1132)-1</f>
        <v>3.9911308203990359E-3</v>
      </c>
      <c r="E127">
        <f>(Prices!E1133/Prices!E1132)-1</f>
        <v>3.1969309462920315E-4</v>
      </c>
      <c r="F127">
        <f>(Prices!F1133/Prices!F1132)-1</f>
        <v>1.7839104176071707E-3</v>
      </c>
      <c r="G127">
        <f t="shared" si="4"/>
        <v>-5.6017017689305561E-3</v>
      </c>
      <c r="H127" s="8">
        <f t="shared" si="7"/>
        <v>907142.44146611053</v>
      </c>
      <c r="I127" s="8">
        <f t="shared" si="5"/>
        <v>1000000</v>
      </c>
      <c r="J127" s="13">
        <f t="shared" si="6"/>
        <v>-9.2857558533889481E-2</v>
      </c>
    </row>
    <row r="128" spans="1:10" x14ac:dyDescent="0.25">
      <c r="A128" s="5">
        <v>44641</v>
      </c>
      <c r="B128">
        <f>(Prices!B1132/Prices!B1131)-1</f>
        <v>1.4834594273849255E-4</v>
      </c>
      <c r="C128">
        <f>(Prices!C1132/Prices!C1131)-1</f>
        <v>4.2674253200567502E-3</v>
      </c>
      <c r="D128">
        <f>(Prices!D1132/Prices!D1131)-1</f>
        <v>-4.3004668269910784E-2</v>
      </c>
      <c r="E128">
        <f>(Prices!E1132/Prices!E1131)-1</f>
        <v>3.2876272953252794E-3</v>
      </c>
      <c r="F128">
        <f>(Prices!F1132/Prices!F1131)-1</f>
        <v>-3.0427050076068385E-3</v>
      </c>
      <c r="G128">
        <f t="shared" si="4"/>
        <v>-7.6687949438794195E-3</v>
      </c>
      <c r="H128" s="8">
        <f t="shared" si="7"/>
        <v>900185.75209761679</v>
      </c>
      <c r="I128" s="8">
        <f t="shared" si="5"/>
        <v>1000000</v>
      </c>
      <c r="J128" s="13">
        <f t="shared" si="6"/>
        <v>-9.9814247902383219E-2</v>
      </c>
    </row>
    <row r="129" spans="1:10" x14ac:dyDescent="0.25">
      <c r="A129" s="6">
        <v>44642</v>
      </c>
      <c r="B129">
        <f>(Prices!B1131/Prices!B1130)-1</f>
        <v>-2.6921688920967246E-2</v>
      </c>
      <c r="C129">
        <f>(Prices!C1131/Prices!C1130)-1</f>
        <v>-1.611196449906116E-2</v>
      </c>
      <c r="D129">
        <f>(Prices!D1131/Prices!D1130)-1</f>
        <v>4.4046604148906265E-3</v>
      </c>
      <c r="E129">
        <f>(Prices!E1131/Prices!E1130)-1</f>
        <v>-2.0884038627620449E-2</v>
      </c>
      <c r="F129">
        <f>(Prices!F1131/Prices!F1130)-1</f>
        <v>4.6498611499796727E-3</v>
      </c>
      <c r="G129">
        <f t="shared" si="4"/>
        <v>-1.0972634096555712E-2</v>
      </c>
      <c r="H129" s="8">
        <f t="shared" si="7"/>
        <v>890308.34322091681</v>
      </c>
      <c r="I129" s="8">
        <f t="shared" si="5"/>
        <v>1000000</v>
      </c>
      <c r="J129" s="13">
        <f t="shared" si="6"/>
        <v>-0.10969165677908319</v>
      </c>
    </row>
    <row r="130" spans="1:10" x14ac:dyDescent="0.25">
      <c r="A130" s="5">
        <v>44643</v>
      </c>
      <c r="B130">
        <f>(Prices!B1130/Prices!B1129)-1</f>
        <v>1.1535372709352565E-2</v>
      </c>
      <c r="C130">
        <f>(Prices!C1130/Prices!C1129)-1</f>
        <v>1.5248657078495764E-2</v>
      </c>
      <c r="D130">
        <f>(Prices!D1130/Prices!D1129)-1</f>
        <v>-1.5526647083508149E-2</v>
      </c>
      <c r="E130">
        <f>(Prices!E1130/Prices!E1129)-1</f>
        <v>2.0347672835055786E-2</v>
      </c>
      <c r="F130">
        <f>(Prices!F1130/Prices!F1129)-1</f>
        <v>4.1503642376947703E-3</v>
      </c>
      <c r="G130">
        <f t="shared" ref="G130:G193" si="8">B130*20%+C130*20%+D130*20%+E130*20%+F130*20%</f>
        <v>7.1510839554181473E-3</v>
      </c>
      <c r="H130" s="8">
        <f t="shared" si="7"/>
        <v>896675.0129294988</v>
      </c>
      <c r="I130" s="8">
        <f t="shared" ref="I130:I193" si="9">MAX(I129,H130)</f>
        <v>1000000</v>
      </c>
      <c r="J130" s="13">
        <f t="shared" ref="J130:J193" si="10">(H130-I130)/I130</f>
        <v>-0.1033249870705012</v>
      </c>
    </row>
    <row r="131" spans="1:10" x14ac:dyDescent="0.25">
      <c r="A131" s="6">
        <v>44644</v>
      </c>
      <c r="B131">
        <f>(Prices!B1129/Prices!B1128)-1</f>
        <v>-2.3317170564746248E-2</v>
      </c>
      <c r="C131">
        <f>(Prices!C1129/Prices!C1128)-1</f>
        <v>-1.515410082255364E-2</v>
      </c>
      <c r="D131">
        <f>(Prices!D1129/Prices!D1128)-1</f>
        <v>-2.9288702928871313E-3</v>
      </c>
      <c r="E131">
        <f>(Prices!E1129/Prices!E1128)-1</f>
        <v>-6.4469914040115039E-3</v>
      </c>
      <c r="F131">
        <f>(Prices!F1129/Prices!F1128)-1</f>
        <v>-1.9935595949324147E-2</v>
      </c>
      <c r="G131">
        <f t="shared" si="8"/>
        <v>-1.3556545806704534E-2</v>
      </c>
      <c r="H131" s="8">
        <f t="shared" si="7"/>
        <v>884519.19704299269</v>
      </c>
      <c r="I131" s="8">
        <f t="shared" si="9"/>
        <v>1000000</v>
      </c>
      <c r="J131" s="13">
        <f t="shared" si="10"/>
        <v>-0.11548080295700731</v>
      </c>
    </row>
    <row r="132" spans="1:10" x14ac:dyDescent="0.25">
      <c r="A132" s="5">
        <v>44645</v>
      </c>
      <c r="B132">
        <f>(Prices!B1128/Prices!B1127)-1</f>
        <v>-7.1255522302970942E-4</v>
      </c>
      <c r="C132">
        <f>(Prices!C1128/Prices!C1127)-1</f>
        <v>1.3671007211457642E-3</v>
      </c>
      <c r="D132">
        <f>(Prices!D1128/Prices!D1127)-1</f>
        <v>-2.1427596560665951E-2</v>
      </c>
      <c r="E132">
        <f>(Prices!E1128/Prices!E1127)-1</f>
        <v>-8.6791857345747125E-3</v>
      </c>
      <c r="F132">
        <f>(Prices!F1128/Prices!F1127)-1</f>
        <v>8.4814045205883204E-4</v>
      </c>
      <c r="G132">
        <f t="shared" si="8"/>
        <v>-5.7208192690131558E-3</v>
      </c>
      <c r="H132" s="8">
        <f t="shared" ref="H132:H195" si="11">H131*(1+G132)</f>
        <v>879459.0225767371</v>
      </c>
      <c r="I132" s="8">
        <f t="shared" si="9"/>
        <v>1000000</v>
      </c>
      <c r="J132" s="13">
        <f t="shared" si="10"/>
        <v>-0.1205409774232629</v>
      </c>
    </row>
    <row r="133" spans="1:10" x14ac:dyDescent="0.25">
      <c r="A133" s="6">
        <v>44648</v>
      </c>
      <c r="B133">
        <f>(Prices!B1127/Prices!B1126)-1</f>
        <v>1.5700827861833133E-3</v>
      </c>
      <c r="C133">
        <f>(Prices!C1127/Prices!C1126)-1</f>
        <v>-2.2582261566728046E-2</v>
      </c>
      <c r="D133">
        <f>(Prices!D1127/Prices!D1126)-1</f>
        <v>2.8928521275101815E-2</v>
      </c>
      <c r="E133">
        <f>(Prices!E1127/Prices!E1126)-1</f>
        <v>7.472178060413226E-3</v>
      </c>
      <c r="F133">
        <f>(Prices!F1127/Prices!F1126)-1</f>
        <v>-3.3914112510058381E-4</v>
      </c>
      <c r="G133">
        <f t="shared" si="8"/>
        <v>3.0098758859739448E-3</v>
      </c>
      <c r="H133" s="8">
        <f t="shared" si="11"/>
        <v>882106.08508149313</v>
      </c>
      <c r="I133" s="8">
        <f t="shared" si="9"/>
        <v>1000000</v>
      </c>
      <c r="J133" s="13">
        <f t="shared" si="10"/>
        <v>-0.11789391491850687</v>
      </c>
    </row>
    <row r="134" spans="1:10" x14ac:dyDescent="0.25">
      <c r="A134" s="5">
        <v>44649</v>
      </c>
      <c r="B134">
        <f>(Prices!B1126/Prices!B1125)-1</f>
        <v>-7.367526211391251E-3</v>
      </c>
      <c r="C134">
        <f>(Prices!C1126/Prices!C1125)-1</f>
        <v>-1.4939616308532577E-2</v>
      </c>
      <c r="D134">
        <f>(Prices!D1126/Prices!D1125)-1</f>
        <v>5.3649583509811638E-3</v>
      </c>
      <c r="E134">
        <f>(Prices!E1126/Prices!E1125)-1</f>
        <v>-2.220812182741172E-3</v>
      </c>
      <c r="F134">
        <f>(Prices!F1126/Prices!F1125)-1</f>
        <v>4.834827799194974E-3</v>
      </c>
      <c r="G134">
        <f t="shared" si="8"/>
        <v>-2.8656337104977728E-3</v>
      </c>
      <c r="H134" s="8">
        <f t="shared" si="11"/>
        <v>879578.29214784841</v>
      </c>
      <c r="I134" s="8">
        <f t="shared" si="9"/>
        <v>1000000</v>
      </c>
      <c r="J134" s="13">
        <f t="shared" si="10"/>
        <v>-0.12042170785215159</v>
      </c>
    </row>
    <row r="135" spans="1:10" x14ac:dyDescent="0.25">
      <c r="A135" s="6">
        <v>44650</v>
      </c>
      <c r="B135">
        <f>(Prices!B1125/Prices!B1124)-1</f>
        <v>3.9829302987197668E-3</v>
      </c>
      <c r="C135">
        <f>(Prices!C1125/Prices!C1124)-1</f>
        <v>4.9272486772486968E-3</v>
      </c>
      <c r="D135">
        <f>(Prices!D1125/Prices!D1124)-1</f>
        <v>-1.6932685634975742E-2</v>
      </c>
      <c r="E135">
        <f>(Prices!E1125/Prices!E1124)-1</f>
        <v>4.5414707991393577E-3</v>
      </c>
      <c r="F135">
        <f>(Prices!F1125/Prices!F1124)-1</f>
        <v>-1.9361711015497662E-2</v>
      </c>
      <c r="G135">
        <f t="shared" si="8"/>
        <v>-4.5685493750731174E-3</v>
      </c>
      <c r="H135" s="8">
        <f t="shared" si="11"/>
        <v>875559.89529092843</v>
      </c>
      <c r="I135" s="8">
        <f t="shared" si="9"/>
        <v>1000000</v>
      </c>
      <c r="J135" s="13">
        <f t="shared" si="10"/>
        <v>-0.12444010470907158</v>
      </c>
    </row>
    <row r="136" spans="1:10" x14ac:dyDescent="0.25">
      <c r="A136" s="5">
        <v>44651</v>
      </c>
      <c r="B136">
        <f>(Prices!B1124/Prices!B1123)-1</f>
        <v>2.0615563298490125E-2</v>
      </c>
      <c r="C136">
        <f>(Prices!C1124/Prices!C1123)-1</f>
        <v>1.8010435953543125E-2</v>
      </c>
      <c r="D136">
        <f>(Prices!D1124/Prices!D1123)-1</f>
        <v>1.4502956913545528E-2</v>
      </c>
      <c r="E136">
        <f>(Prices!E1124/Prices!E1123)-1</f>
        <v>3.0967635945457594E-2</v>
      </c>
      <c r="F136">
        <f>(Prices!F1124/Prices!F1123)-1</f>
        <v>2.1266611207098718E-2</v>
      </c>
      <c r="G136">
        <f t="shared" si="8"/>
        <v>2.1072640663627018E-2</v>
      </c>
      <c r="H136" s="8">
        <f t="shared" si="11"/>
        <v>894010.25434387708</v>
      </c>
      <c r="I136" s="8">
        <f t="shared" si="9"/>
        <v>1000000</v>
      </c>
      <c r="J136" s="13">
        <f t="shared" si="10"/>
        <v>-0.10598974565612292</v>
      </c>
    </row>
    <row r="137" spans="1:10" x14ac:dyDescent="0.25">
      <c r="A137" s="6">
        <v>44652</v>
      </c>
      <c r="B137">
        <f>(Prices!B1123/Prices!B1122)-1</f>
        <v>-7.7072678815819362E-3</v>
      </c>
      <c r="C137">
        <f>(Prices!C1123/Prices!C1122)-1</f>
        <v>-3.5891587280290072E-3</v>
      </c>
      <c r="D137">
        <f>(Prices!D1123/Prices!D1122)-1</f>
        <v>-6.4353665360941115E-3</v>
      </c>
      <c r="E137">
        <f>(Prices!E1123/Prices!E1122)-1</f>
        <v>7.4478649453821877E-3</v>
      </c>
      <c r="F137">
        <f>(Prices!F1123/Prices!F1122)-1</f>
        <v>-5.1143839395612067E-3</v>
      </c>
      <c r="G137">
        <f t="shared" si="8"/>
        <v>-3.0796624279768149E-3</v>
      </c>
      <c r="H137" s="8">
        <f t="shared" si="11"/>
        <v>891257.00455334818</v>
      </c>
      <c r="I137" s="8">
        <f t="shared" si="9"/>
        <v>1000000</v>
      </c>
      <c r="J137" s="13">
        <f t="shared" si="10"/>
        <v>-0.10874299544665182</v>
      </c>
    </row>
    <row r="138" spans="1:10" x14ac:dyDescent="0.25">
      <c r="A138" s="5">
        <v>44655</v>
      </c>
      <c r="B138">
        <f>(Prices!B1122/Prices!B1121)-1</f>
        <v>-1.9700607258861691E-2</v>
      </c>
      <c r="C138">
        <f>(Prices!C1122/Prices!C1121)-1</f>
        <v>-1.7597047386805453E-2</v>
      </c>
      <c r="D138">
        <f>(Prices!D1122/Prices!D1121)-1</f>
        <v>-4.1952174521042718E-4</v>
      </c>
      <c r="E138">
        <f>(Prices!E1122/Prices!E1121)-1</f>
        <v>-4.366812227074246E-3</v>
      </c>
      <c r="F138">
        <f>(Prices!F1122/Prices!F1121)-1</f>
        <v>5.0334854754083835E-3</v>
      </c>
      <c r="G138">
        <f t="shared" si="8"/>
        <v>-7.410100628508688E-3</v>
      </c>
      <c r="H138" s="8">
        <f t="shared" si="11"/>
        <v>884652.7004637447</v>
      </c>
      <c r="I138" s="8">
        <f t="shared" si="9"/>
        <v>1000000</v>
      </c>
      <c r="J138" s="13">
        <f t="shared" si="10"/>
        <v>-0.1153472995362553</v>
      </c>
    </row>
    <row r="139" spans="1:10" x14ac:dyDescent="0.25">
      <c r="A139" s="6">
        <v>44656</v>
      </c>
      <c r="B139">
        <f>(Prices!B1121/Prices!B1120)-1</f>
        <v>1.6873698571120865E-2</v>
      </c>
      <c r="C139">
        <f>(Prices!C1121/Prices!C1120)-1</f>
        <v>1.3154380341880323E-2</v>
      </c>
      <c r="D139">
        <f>(Prices!D1121/Prices!D1120)-1</f>
        <v>5.2010120888390521E-3</v>
      </c>
      <c r="E139">
        <f>(Prices!E1121/Prices!E1120)-1</f>
        <v>1.1753917972657568E-2</v>
      </c>
      <c r="F139">
        <f>(Prices!F1121/Prices!F1120)-1</f>
        <v>-1.4937916255226225E-2</v>
      </c>
      <c r="G139">
        <f t="shared" si="8"/>
        <v>6.4090185438543164E-3</v>
      </c>
      <c r="H139" s="8">
        <f t="shared" si="11"/>
        <v>890322.45602588763</v>
      </c>
      <c r="I139" s="8">
        <f t="shared" si="9"/>
        <v>1000000</v>
      </c>
      <c r="J139" s="13">
        <f t="shared" si="10"/>
        <v>-0.10967754397411238</v>
      </c>
    </row>
    <row r="140" spans="1:10" x14ac:dyDescent="0.25">
      <c r="A140" s="5">
        <v>44657</v>
      </c>
      <c r="B140">
        <f>(Prices!B1120/Prices!B1119)-1</f>
        <v>2.9646606535561393E-2</v>
      </c>
      <c r="C140">
        <f>(Prices!C1120/Prices!C1119)-1</f>
        <v>3.7981702245633464E-2</v>
      </c>
      <c r="D140">
        <f>(Prices!D1120/Prices!D1119)-1</f>
        <v>-1.0982900041707322E-2</v>
      </c>
      <c r="E140">
        <f>(Prices!E1120/Prices!E1119)-1</f>
        <v>1.4032121724429469E-2</v>
      </c>
      <c r="F140">
        <f>(Prices!F1120/Prices!F1119)-1</f>
        <v>-2.6307714338317911E-2</v>
      </c>
      <c r="G140">
        <f t="shared" si="8"/>
        <v>8.873963225119819E-3</v>
      </c>
      <c r="H140" s="8">
        <f t="shared" si="11"/>
        <v>898223.14475915965</v>
      </c>
      <c r="I140" s="8">
        <f t="shared" si="9"/>
        <v>1000000</v>
      </c>
      <c r="J140" s="13">
        <f t="shared" si="10"/>
        <v>-0.10177685524084035</v>
      </c>
    </row>
    <row r="141" spans="1:10" x14ac:dyDescent="0.25">
      <c r="A141" s="6">
        <v>44658</v>
      </c>
      <c r="B141">
        <f>(Prices!B1119/Prices!B1118)-1</f>
        <v>4.8287645791544875E-3</v>
      </c>
      <c r="C141">
        <f>(Prices!C1119/Prices!C1118)-1</f>
        <v>-6.1992009918722113E-3</v>
      </c>
      <c r="D141">
        <f>(Prices!D1119/Prices!D1118)-1</f>
        <v>-1.6543614984960264E-2</v>
      </c>
      <c r="E141">
        <f>(Prices!E1119/Prices!E1118)-1</f>
        <v>3.0523995251823255E-3</v>
      </c>
      <c r="F141">
        <f>(Prices!F1119/Prices!F1118)-1</f>
        <v>-9.683758432770917E-3</v>
      </c>
      <c r="G141">
        <f t="shared" si="8"/>
        <v>-4.9090820610533164E-3</v>
      </c>
      <c r="H141" s="8">
        <f t="shared" si="11"/>
        <v>893813.69363239955</v>
      </c>
      <c r="I141" s="8">
        <f t="shared" si="9"/>
        <v>1000000</v>
      </c>
      <c r="J141" s="13">
        <f t="shared" si="10"/>
        <v>-0.10618630636760046</v>
      </c>
    </row>
    <row r="142" spans="1:10" x14ac:dyDescent="0.25">
      <c r="A142" s="5">
        <v>44659</v>
      </c>
      <c r="B142">
        <f>(Prices!B1118/Prices!B1117)-1</f>
        <v>1.9541013406044083E-2</v>
      </c>
      <c r="C142">
        <f>(Prices!C1118/Prices!C1117)-1</f>
        <v>1.4818957080945161E-2</v>
      </c>
      <c r="D142">
        <f>(Prices!D1118/Prices!D1117)-1</f>
        <v>-2.0621317621853374E-2</v>
      </c>
      <c r="E142">
        <f>(Prices!E1118/Prices!E1117)-1</f>
        <v>-1.7985012489591945E-2</v>
      </c>
      <c r="F142">
        <f>(Prices!F1118/Prices!F1117)-1</f>
        <v>-1.6497638924864E-2</v>
      </c>
      <c r="G142">
        <f t="shared" si="8"/>
        <v>-4.1487997098640147E-3</v>
      </c>
      <c r="H142" s="8">
        <f t="shared" si="11"/>
        <v>890105.43963958498</v>
      </c>
      <c r="I142" s="8">
        <f t="shared" si="9"/>
        <v>1000000</v>
      </c>
      <c r="J142" s="13">
        <f t="shared" si="10"/>
        <v>-0.10989456036041502</v>
      </c>
    </row>
    <row r="143" spans="1:10" x14ac:dyDescent="0.25">
      <c r="A143" s="6">
        <v>44662</v>
      </c>
      <c r="B143">
        <f>(Prices!B1117/Prices!B1116)-1</f>
        <v>3.4636783951101036E-2</v>
      </c>
      <c r="C143">
        <f>(Prices!C1117/Prices!C1116)-1</f>
        <v>4.1042060835395189E-2</v>
      </c>
      <c r="D143">
        <f>(Prices!D1117/Prices!D1116)-1</f>
        <v>3.5639994452919321E-2</v>
      </c>
      <c r="E143">
        <f>(Prices!E1117/Prices!E1116)-1</f>
        <v>3.677085074377473E-3</v>
      </c>
      <c r="F143">
        <f>(Prices!F1117/Prices!F1116)-1</f>
        <v>1.5848277537141131E-2</v>
      </c>
      <c r="G143">
        <f t="shared" si="8"/>
        <v>2.6168840370186831E-2</v>
      </c>
      <c r="H143" s="8">
        <f t="shared" si="11"/>
        <v>913398.46680214815</v>
      </c>
      <c r="I143" s="8">
        <f t="shared" si="9"/>
        <v>1000000</v>
      </c>
      <c r="J143" s="13">
        <f t="shared" si="10"/>
        <v>-8.6601533197851854E-2</v>
      </c>
    </row>
    <row r="144" spans="1:10" x14ac:dyDescent="0.25">
      <c r="A144" s="5">
        <v>44663</v>
      </c>
      <c r="B144">
        <f>(Prices!B1116/Prices!B1115)-1</f>
        <v>8.6949648249150524E-3</v>
      </c>
      <c r="C144">
        <f>(Prices!C1116/Prices!C1115)-1</f>
        <v>1.1333529584927726E-2</v>
      </c>
      <c r="D144">
        <f>(Prices!D1116/Prices!D1115)-1</f>
        <v>-2.0377666077978529E-2</v>
      </c>
      <c r="E144">
        <f>(Prices!E1116/Prices!E1115)-1</f>
        <v>1.1154301166131475E-2</v>
      </c>
      <c r="F144">
        <f>(Prices!F1116/Prices!F1115)-1</f>
        <v>6.9910115565701147E-3</v>
      </c>
      <c r="G144">
        <f t="shared" si="8"/>
        <v>3.5592282109131674E-3</v>
      </c>
      <c r="H144" s="8">
        <f t="shared" si="11"/>
        <v>916649.46039299516</v>
      </c>
      <c r="I144" s="8">
        <f t="shared" si="9"/>
        <v>1000000</v>
      </c>
      <c r="J144" s="13">
        <f t="shared" si="10"/>
        <v>-8.335053960700485E-2</v>
      </c>
    </row>
    <row r="145" spans="1:10" x14ac:dyDescent="0.25">
      <c r="A145" s="6">
        <v>44664</v>
      </c>
      <c r="B145">
        <f>(Prices!B1115/Prices!B1114)-1</f>
        <v>-1.6787129867101735E-2</v>
      </c>
      <c r="C145">
        <f>(Prices!C1115/Prices!C1114)-1</f>
        <v>-1.9306412615928803E-2</v>
      </c>
      <c r="D145">
        <f>(Prices!D1115/Prices!D1114)-1</f>
        <v>-1.3931681178834698E-2</v>
      </c>
      <c r="E145">
        <f>(Prices!E1115/Prices!E1114)-1</f>
        <v>3.3266393084781409E-2</v>
      </c>
      <c r="F145">
        <f>(Prices!F1115/Prices!F1114)-1</f>
        <v>-6.1378276546611987E-3</v>
      </c>
      <c r="G145">
        <f t="shared" si="8"/>
        <v>-4.5793316463490046E-3</v>
      </c>
      <c r="H145" s="8">
        <f t="shared" si="11"/>
        <v>912451.81851040875</v>
      </c>
      <c r="I145" s="8">
        <f t="shared" si="9"/>
        <v>1000000</v>
      </c>
      <c r="J145" s="13">
        <f t="shared" si="10"/>
        <v>-8.7548181489591259E-2</v>
      </c>
    </row>
    <row r="146" spans="1:10" x14ac:dyDescent="0.25">
      <c r="A146" s="5">
        <v>44665</v>
      </c>
      <c r="B146">
        <f>(Prices!B1114/Prices!B1113)-1</f>
        <v>2.4932292496415265E-2</v>
      </c>
      <c r="C146">
        <f>(Prices!C1114/Prices!C1113)-1</f>
        <v>2.7817959274507587E-2</v>
      </c>
      <c r="D146">
        <f>(Prices!D1114/Prices!D1113)-1</f>
        <v>-1.16509996028068E-2</v>
      </c>
      <c r="E146">
        <f>(Prices!E1114/Prices!E1113)-1</f>
        <v>9.3416762139773013E-3</v>
      </c>
      <c r="F146">
        <f>(Prices!F1114/Prices!F1113)-1</f>
        <v>4.0882741787857668E-3</v>
      </c>
      <c r="G146">
        <f t="shared" si="8"/>
        <v>1.0905840512175824E-2</v>
      </c>
      <c r="H146" s="8">
        <f t="shared" si="11"/>
        <v>922402.87251812802</v>
      </c>
      <c r="I146" s="8">
        <f t="shared" si="9"/>
        <v>1000000</v>
      </c>
      <c r="J146" s="13">
        <f t="shared" si="10"/>
        <v>-7.7597127481871989E-2</v>
      </c>
    </row>
    <row r="147" spans="1:10" x14ac:dyDescent="0.25">
      <c r="A147" s="6">
        <v>44669</v>
      </c>
      <c r="B147">
        <f>(Prices!B1113/Prices!B1112)-1</f>
        <v>-7.3535225745235966E-3</v>
      </c>
      <c r="C147">
        <f>(Prices!C1113/Prices!C1112)-1</f>
        <v>-2.4420024420023223E-3</v>
      </c>
      <c r="D147">
        <f>(Prices!D1113/Prices!D1112)-1</f>
        <v>-8.1418253447144151E-3</v>
      </c>
      <c r="E147">
        <f>(Prices!E1113/Prices!E1112)-1</f>
        <v>-1.8170805572380377E-2</v>
      </c>
      <c r="F147">
        <f>(Prices!F1113/Prices!F1112)-1</f>
        <v>1.3850133409372134E-3</v>
      </c>
      <c r="G147">
        <f t="shared" si="8"/>
        <v>-6.9446285185366993E-3</v>
      </c>
      <c r="H147" s="8">
        <f t="shared" si="11"/>
        <v>915997.12722405838</v>
      </c>
      <c r="I147" s="8">
        <f t="shared" si="9"/>
        <v>1000000</v>
      </c>
      <c r="J147" s="13">
        <f t="shared" si="10"/>
        <v>-8.4002872775941623E-2</v>
      </c>
    </row>
    <row r="148" spans="1:10" x14ac:dyDescent="0.25">
      <c r="A148" s="5">
        <v>44670</v>
      </c>
      <c r="B148">
        <f>(Prices!B1112/Prices!B1111)-1</f>
        <v>-1.7937567945333188E-2</v>
      </c>
      <c r="C148">
        <f>(Prices!C1112/Prices!C1111)-1</f>
        <v>-1.6770954598370302E-2</v>
      </c>
      <c r="D148">
        <f>(Prices!D1112/Prices!D1111)-1</f>
        <v>9.010202729561545E-3</v>
      </c>
      <c r="E148">
        <f>(Prices!E1112/Prices!E1111)-1</f>
        <v>-2.0261105459477791E-2</v>
      </c>
      <c r="F148">
        <f>(Prices!F1112/Prices!F1111)-1</f>
        <v>-6.7367995144648196E-3</v>
      </c>
      <c r="G148">
        <f t="shared" si="8"/>
        <v>-1.0539244957616913E-2</v>
      </c>
      <c r="H148" s="8">
        <f t="shared" si="11"/>
        <v>906343.20911977068</v>
      </c>
      <c r="I148" s="8">
        <f t="shared" si="9"/>
        <v>1000000</v>
      </c>
      <c r="J148" s="13">
        <f t="shared" si="10"/>
        <v>-9.3656790880229324E-2</v>
      </c>
    </row>
    <row r="149" spans="1:10" x14ac:dyDescent="0.25">
      <c r="A149" s="6">
        <v>44671</v>
      </c>
      <c r="B149">
        <f>(Prices!B1111/Prices!B1110)-1</f>
        <v>1.5374911298588589E-2</v>
      </c>
      <c r="C149">
        <f>(Prices!C1111/Prices!C1110)-1</f>
        <v>-3.6969916636462319E-3</v>
      </c>
      <c r="D149">
        <f>(Prices!D1111/Prices!D1110)-1</f>
        <v>-2.2474881015336345E-3</v>
      </c>
      <c r="E149">
        <f>(Prices!E1111/Prices!E1110)-1</f>
        <v>-3.5478966041561089E-3</v>
      </c>
      <c r="F149">
        <f>(Prices!F1111/Prices!F1110)-1</f>
        <v>-1.5220942742160348E-2</v>
      </c>
      <c r="G149">
        <f t="shared" si="8"/>
        <v>-1.8676815625815468E-3</v>
      </c>
      <c r="H149" s="8">
        <f t="shared" si="11"/>
        <v>904650.44861872669</v>
      </c>
      <c r="I149" s="8">
        <f t="shared" si="9"/>
        <v>1000000</v>
      </c>
      <c r="J149" s="13">
        <f t="shared" si="10"/>
        <v>-9.5349551381273309E-2</v>
      </c>
    </row>
    <row r="150" spans="1:10" x14ac:dyDescent="0.25">
      <c r="A150" s="5">
        <v>44672</v>
      </c>
      <c r="B150">
        <f>(Prices!B1110/Prices!B1109)-1</f>
        <v>2.5800711743772187E-2</v>
      </c>
      <c r="C150">
        <f>(Prices!C1110/Prices!C1109)-1</f>
        <v>1.9774533357974411E-2</v>
      </c>
      <c r="D150">
        <f>(Prices!D1110/Prices!D1109)-1</f>
        <v>1.0689470871191764E-2</v>
      </c>
      <c r="E150">
        <f>(Prices!E1110/Prices!E1109)-1</f>
        <v>7.8324536012259749E-3</v>
      </c>
      <c r="F150">
        <f>(Prices!F1110/Prices!F1109)-1</f>
        <v>1.5949479820264845E-2</v>
      </c>
      <c r="G150">
        <f t="shared" si="8"/>
        <v>1.6009329878885835E-2</v>
      </c>
      <c r="H150" s="8">
        <f t="shared" si="11"/>
        <v>919133.29607574607</v>
      </c>
      <c r="I150" s="8">
        <f t="shared" si="9"/>
        <v>1000000</v>
      </c>
      <c r="J150" s="13">
        <f t="shared" si="10"/>
        <v>-8.0866703924253935E-2</v>
      </c>
    </row>
    <row r="151" spans="1:10" x14ac:dyDescent="0.25">
      <c r="A151" s="6">
        <v>44673</v>
      </c>
      <c r="B151">
        <f>(Prices!B1109/Prices!B1108)-1</f>
        <v>4.3287486288076993E-2</v>
      </c>
      <c r="C151">
        <f>(Prices!C1109/Prices!C1108)-1</f>
        <v>2.4732974774638317E-2</v>
      </c>
      <c r="D151">
        <f>(Prices!D1109/Prices!D1108)-1</f>
        <v>2.2264717934708411E-2</v>
      </c>
      <c r="E151">
        <f>(Prices!E1109/Prices!E1108)-1</f>
        <v>2.9538083968796425E-2</v>
      </c>
      <c r="F151">
        <f>(Prices!F1109/Prices!F1108)-1</f>
        <v>3.1677420702040271E-2</v>
      </c>
      <c r="G151">
        <f t="shared" si="8"/>
        <v>3.0300136733652085E-2</v>
      </c>
      <c r="H151" s="8">
        <f t="shared" si="11"/>
        <v>946983.1606232936</v>
      </c>
      <c r="I151" s="8">
        <f t="shared" si="9"/>
        <v>1000000</v>
      </c>
      <c r="J151" s="13">
        <f t="shared" si="10"/>
        <v>-5.3016839376706398E-2</v>
      </c>
    </row>
    <row r="152" spans="1:10" x14ac:dyDescent="0.25">
      <c r="A152" s="5">
        <v>44676</v>
      </c>
      <c r="B152">
        <f>(Prices!B1108/Prices!B1107)-1</f>
        <v>-2.7889426626199532E-2</v>
      </c>
      <c r="C152">
        <f>(Prices!C1108/Prices!C1107)-1</f>
        <v>-2.384737678855342E-2</v>
      </c>
      <c r="D152">
        <f>(Prices!D1108/Prices!D1107)-1</f>
        <v>3.4916595985298171E-2</v>
      </c>
      <c r="E152">
        <f>(Prices!E1108/Prices!E1107)-1</f>
        <v>3.5072336694441653E-4</v>
      </c>
      <c r="F152">
        <f>(Prices!F1108/Prices!F1107)-1</f>
        <v>-6.3698232218440953E-3</v>
      </c>
      <c r="G152">
        <f t="shared" si="8"/>
        <v>-4.5678614568708939E-3</v>
      </c>
      <c r="H152" s="8">
        <f t="shared" si="11"/>
        <v>942657.47274357663</v>
      </c>
      <c r="I152" s="8">
        <f t="shared" si="9"/>
        <v>1000000</v>
      </c>
      <c r="J152" s="13">
        <f t="shared" si="10"/>
        <v>-5.7342527256423373E-2</v>
      </c>
    </row>
    <row r="153" spans="1:10" x14ac:dyDescent="0.25">
      <c r="A153" s="6">
        <v>44677</v>
      </c>
      <c r="B153">
        <f>(Prices!B1107/Prices!B1106)-1</f>
        <v>3.7267080745341685E-2</v>
      </c>
      <c r="C153">
        <f>(Prices!C1107/Prices!C1106)-1</f>
        <v>3.8870750912233465E-2</v>
      </c>
      <c r="D153">
        <f>(Prices!D1107/Prices!D1106)-1</f>
        <v>-2.8264556246482275E-4</v>
      </c>
      <c r="E153">
        <f>(Prices!E1107/Prices!E1106)-1</f>
        <v>3.044813877846031E-2</v>
      </c>
      <c r="F153">
        <f>(Prices!F1107/Prices!F1106)-1</f>
        <v>2.0431496263047633E-2</v>
      </c>
      <c r="G153">
        <f t="shared" si="8"/>
        <v>2.534696422732366E-2</v>
      </c>
      <c r="H153" s="8">
        <f t="shared" si="11"/>
        <v>966550.97798382735</v>
      </c>
      <c r="I153" s="8">
        <f t="shared" si="9"/>
        <v>1000000</v>
      </c>
      <c r="J153" s="13">
        <f t="shared" si="10"/>
        <v>-3.3449022016172648E-2</v>
      </c>
    </row>
    <row r="154" spans="1:10" x14ac:dyDescent="0.25">
      <c r="A154" s="5">
        <v>44678</v>
      </c>
      <c r="B154">
        <f>(Prices!B1106/Prices!B1105)-1</f>
        <v>3.8067479243949931E-2</v>
      </c>
      <c r="C154">
        <f>(Prices!C1106/Prices!C1105)-1</f>
        <v>-4.5882654744017204E-2</v>
      </c>
      <c r="D154">
        <f>(Prices!D1106/Prices!D1105)-1</f>
        <v>-2.7754877713657589E-2</v>
      </c>
      <c r="E154">
        <f>(Prices!E1106/Prices!E1105)-1</f>
        <v>1.3181984621018161E-2</v>
      </c>
      <c r="F154">
        <f>(Prices!F1106/Prices!F1105)-1</f>
        <v>-6.3513570732864899E-5</v>
      </c>
      <c r="G154">
        <f t="shared" si="8"/>
        <v>-4.4903164326879127E-3</v>
      </c>
      <c r="H154" s="8">
        <f t="shared" si="11"/>
        <v>962210.858244356</v>
      </c>
      <c r="I154" s="8">
        <f t="shared" si="9"/>
        <v>1000000</v>
      </c>
      <c r="J154" s="13">
        <f t="shared" si="10"/>
        <v>-3.7789141755643997E-2</v>
      </c>
    </row>
    <row r="155" spans="1:10" x14ac:dyDescent="0.25">
      <c r="A155" s="6">
        <v>44679</v>
      </c>
      <c r="B155">
        <f>(Prices!B1105/Prices!B1104)-1</f>
        <v>-3.568690912188055E-2</v>
      </c>
      <c r="C155">
        <f>(Prices!C1105/Prices!C1104)-1</f>
        <v>-2.2146568715283976E-2</v>
      </c>
      <c r="D155">
        <f>(Prices!D1105/Prices!D1104)-1</f>
        <v>-2.9470596079477218E-2</v>
      </c>
      <c r="E155">
        <f>(Prices!E1105/Prices!E1104)-1</f>
        <v>-1.5501081470800315E-2</v>
      </c>
      <c r="F155">
        <f>(Prices!F1105/Prices!F1104)-1</f>
        <v>-2.0224439420025275E-2</v>
      </c>
      <c r="G155">
        <f t="shared" si="8"/>
        <v>-2.4605918961493473E-2</v>
      </c>
      <c r="H155" s="8">
        <f t="shared" si="11"/>
        <v>938534.77584252635</v>
      </c>
      <c r="I155" s="8">
        <f t="shared" si="9"/>
        <v>1000000</v>
      </c>
      <c r="J155" s="13">
        <f t="shared" si="10"/>
        <v>-6.1465224157473651E-2</v>
      </c>
    </row>
    <row r="156" spans="1:10" x14ac:dyDescent="0.25">
      <c r="A156" s="5">
        <v>44680</v>
      </c>
      <c r="B156">
        <f>(Prices!B1104/Prices!B1103)-1</f>
        <v>3.8750774130761778E-2</v>
      </c>
      <c r="C156">
        <f>(Prices!C1104/Prices!C1103)-1</f>
        <v>4.3645747625102871E-2</v>
      </c>
      <c r="D156">
        <f>(Prices!D1104/Prices!D1103)-1</f>
        <v>2.2916382485336229E-2</v>
      </c>
      <c r="E156">
        <f>(Prices!E1104/Prices!E1103)-1</f>
        <v>3.3339541814118023E-2</v>
      </c>
      <c r="F156">
        <f>(Prices!F1104/Prices!F1103)-1</f>
        <v>3.1208556149732614E-2</v>
      </c>
      <c r="G156">
        <f t="shared" si="8"/>
        <v>3.3972200441010306E-2</v>
      </c>
      <c r="H156" s="8">
        <f t="shared" si="11"/>
        <v>970418.86736830731</v>
      </c>
      <c r="I156" s="8">
        <f t="shared" si="9"/>
        <v>1000000</v>
      </c>
      <c r="J156" s="13">
        <f t="shared" si="10"/>
        <v>-2.9581132631692687E-2</v>
      </c>
    </row>
    <row r="157" spans="1:10" x14ac:dyDescent="0.25">
      <c r="A157" s="6">
        <v>44683</v>
      </c>
      <c r="B157">
        <f>(Prices!B1103/Prices!B1102)-1</f>
        <v>-2.121579494284731E-2</v>
      </c>
      <c r="C157">
        <f>(Prices!C1103/Prices!C1102)-1</f>
        <v>-2.444541739638062E-2</v>
      </c>
      <c r="D157">
        <f>(Prices!D1103/Prices!D1102)-1</f>
        <v>-1.3457139012245989E-2</v>
      </c>
      <c r="E157">
        <f>(Prices!E1103/Prices!E1102)-1</f>
        <v>-9.0439276485788644E-3</v>
      </c>
      <c r="F157">
        <f>(Prices!F1103/Prices!F1102)-1</f>
        <v>1.4760147601476037E-2</v>
      </c>
      <c r="G157">
        <f t="shared" si="8"/>
        <v>-1.068042627971535E-2</v>
      </c>
      <c r="H157" s="8">
        <f t="shared" si="11"/>
        <v>960054.38019493525</v>
      </c>
      <c r="I157" s="8">
        <f t="shared" si="9"/>
        <v>1000000</v>
      </c>
      <c r="J157" s="13">
        <f t="shared" si="10"/>
        <v>-3.9945619805064753E-2</v>
      </c>
    </row>
    <row r="158" spans="1:10" x14ac:dyDescent="0.25">
      <c r="A158" s="5">
        <v>44684</v>
      </c>
      <c r="B158">
        <f>(Prices!B1102/Prices!B1101)-1</f>
        <v>-6.4527230491266963E-3</v>
      </c>
      <c r="C158">
        <f>(Prices!C1102/Prices!C1101)-1</f>
        <v>9.5399462226968268E-3</v>
      </c>
      <c r="D158">
        <f>(Prices!D1102/Prices!D1101)-1</f>
        <v>-2.0174050632911444E-2</v>
      </c>
      <c r="E158">
        <f>(Prices!E1102/Prices!E1101)-1</f>
        <v>-2.1049778661125673E-2</v>
      </c>
      <c r="F158">
        <f>(Prices!F1102/Prices!F1101)-1</f>
        <v>3.069955801345392E-3</v>
      </c>
      <c r="G158">
        <f t="shared" si="8"/>
        <v>-7.013330063824319E-3</v>
      </c>
      <c r="H158" s="8">
        <f t="shared" si="11"/>
        <v>953321.20194740791</v>
      </c>
      <c r="I158" s="8">
        <f t="shared" si="9"/>
        <v>1000000</v>
      </c>
      <c r="J158" s="13">
        <f t="shared" si="10"/>
        <v>-4.6678798052592084E-2</v>
      </c>
    </row>
    <row r="159" spans="1:10" x14ac:dyDescent="0.25">
      <c r="A159" s="6">
        <v>44685</v>
      </c>
      <c r="B159">
        <f>(Prices!B1101/Prices!B1100)-1</f>
        <v>-4.0293947650895889E-2</v>
      </c>
      <c r="C159">
        <f>(Prices!C1101/Prices!C1100)-1</f>
        <v>-2.8275886753283852E-2</v>
      </c>
      <c r="D159">
        <f>(Prices!D1101/Prices!D1100)-1</f>
        <v>-3.829571392340847E-2</v>
      </c>
      <c r="E159">
        <f>(Prices!E1101/Prices!E1100)-1</f>
        <v>-3.2006996064713578E-2</v>
      </c>
      <c r="F159">
        <f>(Prices!F1101/Prices!F1100)-1</f>
        <v>-1.5771991856851963E-2</v>
      </c>
      <c r="G159">
        <f t="shared" si="8"/>
        <v>-3.0928907249830755E-2</v>
      </c>
      <c r="H159" s="8">
        <f t="shared" si="11"/>
        <v>923836.01891307929</v>
      </c>
      <c r="I159" s="8">
        <f t="shared" si="9"/>
        <v>1000000</v>
      </c>
      <c r="J159" s="13">
        <f t="shared" si="10"/>
        <v>-7.6163981086920712E-2</v>
      </c>
    </row>
    <row r="160" spans="1:10" x14ac:dyDescent="0.25">
      <c r="A160" s="5">
        <v>44686</v>
      </c>
      <c r="B160">
        <f>(Prices!B1100/Prices!B1099)-1</f>
        <v>4.938913439043402E-2</v>
      </c>
      <c r="C160">
        <f>(Prices!C1100/Prices!C1099)-1</f>
        <v>4.5542998278571778E-2</v>
      </c>
      <c r="D160">
        <f>(Prices!D1100/Prices!D1099)-1</f>
        <v>1.5451970126191039E-2</v>
      </c>
      <c r="E160">
        <f>(Prices!E1100/Prices!E1099)-1</f>
        <v>2.5652524890124706E-2</v>
      </c>
      <c r="F160">
        <f>(Prices!F1100/Prices!F1099)-1</f>
        <v>2.6077970052111876E-2</v>
      </c>
      <c r="G160">
        <f t="shared" si="8"/>
        <v>3.2422919547486682E-2</v>
      </c>
      <c r="H160" s="8">
        <f t="shared" si="11"/>
        <v>953789.47982936853</v>
      </c>
      <c r="I160" s="8">
        <f t="shared" si="9"/>
        <v>1000000</v>
      </c>
      <c r="J160" s="13">
        <f t="shared" si="10"/>
        <v>-4.6210520170631472E-2</v>
      </c>
    </row>
    <row r="161" spans="1:10" x14ac:dyDescent="0.25">
      <c r="A161" s="6">
        <v>44687</v>
      </c>
      <c r="B161">
        <f>(Prices!B1099/Prices!B1098)-1</f>
        <v>6.5410779696493115E-3</v>
      </c>
      <c r="C161">
        <f>(Prices!C1099/Prices!C1098)-1</f>
        <v>9.5583512788546265E-3</v>
      </c>
      <c r="D161">
        <f>(Prices!D1099/Prices!D1098)-1</f>
        <v>-1.5091946734305584E-2</v>
      </c>
      <c r="E161">
        <f>(Prices!E1099/Prices!E1098)-1</f>
        <v>1.6171053813673897E-3</v>
      </c>
      <c r="F161">
        <f>(Prices!F1099/Prices!F1098)-1</f>
        <v>-9.7977312808901207E-3</v>
      </c>
      <c r="G161">
        <f t="shared" si="8"/>
        <v>-1.4346286770648754E-3</v>
      </c>
      <c r="H161" s="8">
        <f t="shared" si="11"/>
        <v>952421.14608972252</v>
      </c>
      <c r="I161" s="8">
        <f t="shared" si="9"/>
        <v>1000000</v>
      </c>
      <c r="J161" s="13">
        <f t="shared" si="10"/>
        <v>-4.7578853910277483E-2</v>
      </c>
    </row>
    <row r="162" spans="1:10" x14ac:dyDescent="0.25">
      <c r="A162" s="5">
        <v>44690</v>
      </c>
      <c r="B162">
        <f>(Prices!B1098/Prices!B1097)-1</f>
        <v>2.8802153432032185E-2</v>
      </c>
      <c r="C162">
        <f>(Prices!C1098/Prices!C1097)-1</f>
        <v>3.8325749254668251E-2</v>
      </c>
      <c r="D162">
        <f>(Prices!D1098/Prices!D1097)-1</f>
        <v>8.5639542888613418E-2</v>
      </c>
      <c r="E162">
        <f>(Prices!E1098/Prices!E1097)-1</f>
        <v>1.5324272553133289E-2</v>
      </c>
      <c r="F162">
        <f>(Prices!F1098/Prices!F1097)-1</f>
        <v>2.7126755523749768E-2</v>
      </c>
      <c r="G162">
        <f t="shared" si="8"/>
        <v>3.9043694730439379E-2</v>
      </c>
      <c r="H162" s="8">
        <f t="shared" si="11"/>
        <v>989607.18657246477</v>
      </c>
      <c r="I162" s="8">
        <f t="shared" si="9"/>
        <v>1000000</v>
      </c>
      <c r="J162" s="13">
        <f t="shared" si="10"/>
        <v>-1.0392813427535235E-2</v>
      </c>
    </row>
    <row r="163" spans="1:10" x14ac:dyDescent="0.25">
      <c r="A163" s="6">
        <v>44691</v>
      </c>
      <c r="B163">
        <f>(Prices!B1097/Prices!B1096)-1</f>
        <v>-1.6501941404871046E-2</v>
      </c>
      <c r="C163">
        <f>(Prices!C1097/Prices!C1096)-1</f>
        <v>-1.8254640683971535E-2</v>
      </c>
      <c r="D163">
        <f>(Prices!D1097/Prices!D1096)-1</f>
        <v>-6.5654493229381217E-3</v>
      </c>
      <c r="E163">
        <f>(Prices!E1097/Prices!E1096)-1</f>
        <v>2.4962602842184101E-2</v>
      </c>
      <c r="F163">
        <f>(Prices!F1097/Prices!F1096)-1</f>
        <v>-3.2544246801301524E-3</v>
      </c>
      <c r="G163">
        <f t="shared" si="8"/>
        <v>-3.92277064994535E-3</v>
      </c>
      <c r="H163" s="8">
        <f t="shared" si="11"/>
        <v>985725.18454600323</v>
      </c>
      <c r="I163" s="8">
        <f t="shared" si="9"/>
        <v>1000000</v>
      </c>
      <c r="J163" s="13">
        <f t="shared" si="10"/>
        <v>-1.4274815453996765E-2</v>
      </c>
    </row>
    <row r="164" spans="1:10" x14ac:dyDescent="0.25">
      <c r="A164" s="5">
        <v>44692</v>
      </c>
      <c r="B164">
        <f>(Prices!B1096/Prices!B1095)-1</f>
        <v>7.0203501288543801E-3</v>
      </c>
      <c r="C164">
        <f>(Prices!C1096/Prices!C1095)-1</f>
        <v>3.4378361152053616E-2</v>
      </c>
      <c r="D164">
        <f>(Prices!D1096/Prices!D1095)-1</f>
        <v>-2.036714457992761E-2</v>
      </c>
      <c r="E164">
        <f>(Prices!E1096/Prices!E1095)-1</f>
        <v>6.3035092670993276E-3</v>
      </c>
      <c r="F164">
        <f>(Prices!F1096/Prices!F1095)-1</f>
        <v>3.8262737463918839E-3</v>
      </c>
      <c r="G164">
        <f t="shared" si="8"/>
        <v>6.2322699428943203E-3</v>
      </c>
      <c r="H164" s="8">
        <f t="shared" si="11"/>
        <v>991868.48998560326</v>
      </c>
      <c r="I164" s="8">
        <f t="shared" si="9"/>
        <v>1000000</v>
      </c>
      <c r="J164" s="13">
        <f t="shared" si="10"/>
        <v>-8.1315100143967423E-3</v>
      </c>
    </row>
    <row r="165" spans="1:10" x14ac:dyDescent="0.25">
      <c r="A165" s="6">
        <v>44693</v>
      </c>
      <c r="B165">
        <f>(Prices!B1095/Prices!B1094)-1</f>
        <v>6.709608158883551E-3</v>
      </c>
      <c r="C165">
        <f>(Prices!C1095/Prices!C1094)-1</f>
        <v>2.0364198032680303E-2</v>
      </c>
      <c r="D165">
        <f>(Prices!D1095/Prices!D1094)-1</f>
        <v>-4.5351473922903285E-3</v>
      </c>
      <c r="E165">
        <f>(Prices!E1095/Prices!E1094)-1</f>
        <v>8.4745762711868622E-4</v>
      </c>
      <c r="F165">
        <f>(Prices!F1095/Prices!F1094)-1</f>
        <v>1.5335332606325025E-2</v>
      </c>
      <c r="G165">
        <f t="shared" si="8"/>
        <v>7.744289806543448E-3</v>
      </c>
      <c r="H165" s="8">
        <f t="shared" si="11"/>
        <v>999549.80702203035</v>
      </c>
      <c r="I165" s="8">
        <f t="shared" si="9"/>
        <v>1000000</v>
      </c>
      <c r="J165" s="13">
        <f t="shared" si="10"/>
        <v>-4.5019297796965109E-4</v>
      </c>
    </row>
    <row r="166" spans="1:10" x14ac:dyDescent="0.25">
      <c r="A166" s="5">
        <v>44694</v>
      </c>
      <c r="B166">
        <f>(Prices!B1094/Prices!B1093)-1</f>
        <v>-2.7661795407098011E-2</v>
      </c>
      <c r="C166">
        <f>(Prices!C1094/Prices!C1093)-1</f>
        <v>-2.210032594005884E-2</v>
      </c>
      <c r="D166">
        <f>(Prices!D1094/Prices!D1093)-1</f>
        <v>-2.8886010362694337E-2</v>
      </c>
      <c r="E166">
        <f>(Prices!E1094/Prices!E1093)-1</f>
        <v>-8.7735672951279042E-3</v>
      </c>
      <c r="F166">
        <f>(Prices!F1094/Prices!F1093)-1</f>
        <v>-1.3580744924028498E-2</v>
      </c>
      <c r="G166">
        <f t="shared" si="8"/>
        <v>-2.020048878580152E-2</v>
      </c>
      <c r="H166" s="8">
        <f t="shared" si="11"/>
        <v>979358.41235443181</v>
      </c>
      <c r="I166" s="8">
        <f t="shared" si="9"/>
        <v>1000000</v>
      </c>
      <c r="J166" s="13">
        <f t="shared" si="10"/>
        <v>-2.0641587645568185E-2</v>
      </c>
    </row>
    <row r="167" spans="1:10" x14ac:dyDescent="0.25">
      <c r="A167" s="6">
        <v>44697</v>
      </c>
      <c r="B167">
        <f>(Prices!B1093/Prices!B1092)-1</f>
        <v>1.4024874305371693E-2</v>
      </c>
      <c r="C167">
        <f>(Prices!C1093/Prices!C1092)-1</f>
        <v>-1.4685453462988107E-3</v>
      </c>
      <c r="D167">
        <f>(Prices!D1093/Prices!D1092)-1</f>
        <v>-2.2908492595874019E-2</v>
      </c>
      <c r="E167">
        <f>(Prices!E1093/Prices!E1092)-1</f>
        <v>7.049534730707796E-3</v>
      </c>
      <c r="F167">
        <f>(Prices!F1093/Prices!F1092)-1</f>
        <v>-7.8046828096858256E-3</v>
      </c>
      <c r="G167">
        <f t="shared" si="8"/>
        <v>-2.2214623431558336E-3</v>
      </c>
      <c r="H167" s="8">
        <f t="shared" si="11"/>
        <v>977182.80452093366</v>
      </c>
      <c r="I167" s="8">
        <f t="shared" si="9"/>
        <v>1000000</v>
      </c>
      <c r="J167" s="13">
        <f t="shared" si="10"/>
        <v>-2.2817195479066344E-2</v>
      </c>
    </row>
    <row r="168" spans="1:10" x14ac:dyDescent="0.25">
      <c r="A168" s="5">
        <v>44698</v>
      </c>
      <c r="B168">
        <f>(Prices!B1092/Prices!B1091)-1</f>
        <v>-1.7420696827873061E-2</v>
      </c>
      <c r="C168">
        <f>(Prices!C1092/Prices!C1091)-1</f>
        <v>-1.9916754191465325E-2</v>
      </c>
      <c r="D168">
        <f>(Prices!D1092/Prices!D1091)-1</f>
        <v>-1.2621844538865168E-2</v>
      </c>
      <c r="E168">
        <f>(Prices!E1092/Prices!E1091)-1</f>
        <v>-3.2114264919941737E-2</v>
      </c>
      <c r="F168">
        <f>(Prices!F1092/Prices!F1091)-1</f>
        <v>-6.7361632580943409E-3</v>
      </c>
      <c r="G168">
        <f t="shared" si="8"/>
        <v>-1.7761944747247928E-2</v>
      </c>
      <c r="H168" s="8">
        <f t="shared" si="11"/>
        <v>959826.13753907208</v>
      </c>
      <c r="I168" s="8">
        <f t="shared" si="9"/>
        <v>1000000</v>
      </c>
      <c r="J168" s="13">
        <f t="shared" si="10"/>
        <v>-4.0173862460927919E-2</v>
      </c>
    </row>
    <row r="169" spans="1:10" x14ac:dyDescent="0.25">
      <c r="A169" s="6">
        <v>44699</v>
      </c>
      <c r="B169">
        <f>(Prices!B1091/Prices!B1090)-1</f>
        <v>4.0959942259112259E-2</v>
      </c>
      <c r="C169">
        <f>(Prices!C1091/Prices!C1090)-1</f>
        <v>4.7683090842401299E-2</v>
      </c>
      <c r="D169">
        <f>(Prices!D1091/Prices!D1090)-1</f>
        <v>1.612698412698399E-2</v>
      </c>
      <c r="E169">
        <f>(Prices!E1091/Prices!E1090)-1</f>
        <v>1.7400962606441972E-2</v>
      </c>
      <c r="F169">
        <f>(Prices!F1091/Prices!F1090)-1</f>
        <v>4.4884960653543526E-2</v>
      </c>
      <c r="G169">
        <f t="shared" si="8"/>
        <v>3.3411188097696609E-2</v>
      </c>
      <c r="H169" s="8">
        <f t="shared" si="11"/>
        <v>991895.06916147564</v>
      </c>
      <c r="I169" s="8">
        <f t="shared" si="9"/>
        <v>1000000</v>
      </c>
      <c r="J169" s="13">
        <f t="shared" si="10"/>
        <v>-8.1049308385243643E-3</v>
      </c>
    </row>
    <row r="170" spans="1:10" x14ac:dyDescent="0.25">
      <c r="A170" s="5">
        <v>44700</v>
      </c>
      <c r="B170">
        <f>(Prices!B1090/Prices!B1089)-1</f>
        <v>1.3718675690506776E-2</v>
      </c>
      <c r="C170">
        <f>(Prices!C1090/Prices!C1089)-1</f>
        <v>3.7224903869752524E-3</v>
      </c>
      <c r="D170">
        <f>(Prices!D1090/Prices!D1089)-1</f>
        <v>-5.4306643091690532E-3</v>
      </c>
      <c r="E170">
        <f>(Prices!E1090/Prices!E1089)-1</f>
        <v>1.5031942878617199E-2</v>
      </c>
      <c r="F170">
        <f>(Prices!F1090/Prices!F1089)-1</f>
        <v>-1.500238674334553E-2</v>
      </c>
      <c r="G170">
        <f t="shared" si="8"/>
        <v>2.4080115807169292E-3</v>
      </c>
      <c r="H170" s="8">
        <f t="shared" si="11"/>
        <v>994283.56397487258</v>
      </c>
      <c r="I170" s="8">
        <f t="shared" si="9"/>
        <v>1000000</v>
      </c>
      <c r="J170" s="13">
        <f t="shared" si="10"/>
        <v>-5.7164360251274193E-3</v>
      </c>
    </row>
    <row r="171" spans="1:10" x14ac:dyDescent="0.25">
      <c r="A171" s="6">
        <v>44701</v>
      </c>
      <c r="B171">
        <f>(Prices!B1089/Prices!B1088)-1</f>
        <v>1.3533555802743846E-2</v>
      </c>
      <c r="C171">
        <f>(Prices!C1089/Prices!C1088)-1</f>
        <v>2.2960229602295712E-3</v>
      </c>
      <c r="D171">
        <f>(Prices!D1089/Prices!D1088)-1</f>
        <v>-7.7694235588970928E-3</v>
      </c>
      <c r="E171">
        <f>(Prices!E1089/Prices!E1088)-1</f>
        <v>8.2409775504406202E-3</v>
      </c>
      <c r="F171">
        <f>(Prices!F1089/Prices!F1088)-1</f>
        <v>-1.4780641838174291E-2</v>
      </c>
      <c r="G171">
        <f t="shared" si="8"/>
        <v>3.0409818326853104E-4</v>
      </c>
      <c r="H171" s="8">
        <f t="shared" si="11"/>
        <v>994585.92380033107</v>
      </c>
      <c r="I171" s="8">
        <f t="shared" si="9"/>
        <v>1000000</v>
      </c>
      <c r="J171" s="13">
        <f t="shared" si="10"/>
        <v>-5.4140761996689249E-3</v>
      </c>
    </row>
    <row r="172" spans="1:10" x14ac:dyDescent="0.25">
      <c r="A172" s="5">
        <v>44704</v>
      </c>
      <c r="B172">
        <f>(Prices!B1088/Prices!B1087)-1</f>
        <v>-2.3180007243752243E-2</v>
      </c>
      <c r="C172">
        <f>(Prices!C1088/Prices!C1087)-1</f>
        <v>-3.1027770052838632E-2</v>
      </c>
      <c r="D172">
        <f>(Prices!D1088/Prices!D1087)-1</f>
        <v>-2.1699154100772278E-2</v>
      </c>
      <c r="E172">
        <f>(Prices!E1088/Prices!E1087)-1</f>
        <v>-5.8251561106155259E-2</v>
      </c>
      <c r="F172">
        <f>(Prices!F1088/Prices!F1087)-1</f>
        <v>-1.2887965337342044E-2</v>
      </c>
      <c r="G172">
        <f t="shared" si="8"/>
        <v>-2.9409291568172093E-2</v>
      </c>
      <c r="H172" s="8">
        <f t="shared" si="11"/>
        <v>965335.85637768742</v>
      </c>
      <c r="I172" s="8">
        <f t="shared" si="9"/>
        <v>1000000</v>
      </c>
      <c r="J172" s="13">
        <f t="shared" si="10"/>
        <v>-3.4664143622312578E-2</v>
      </c>
    </row>
    <row r="173" spans="1:10" x14ac:dyDescent="0.25">
      <c r="A173" s="6">
        <v>44705</v>
      </c>
      <c r="B173">
        <f>(Prices!B1087/Prices!B1086)-1</f>
        <v>5.211012670286741E-2</v>
      </c>
      <c r="C173">
        <f>(Prices!C1087/Prices!C1086)-1</f>
        <v>3.9486279514997502E-3</v>
      </c>
      <c r="D173">
        <f>(Prices!D1087/Prices!D1086)-1</f>
        <v>-5.3651993659311614E-3</v>
      </c>
      <c r="E173">
        <f>(Prices!E1087/Prices!E1086)-1</f>
        <v>-1.3898662913441329E-2</v>
      </c>
      <c r="F173">
        <f>(Prices!F1087/Prices!F1086)-1</f>
        <v>-1.1018801923917687E-2</v>
      </c>
      <c r="G173">
        <f t="shared" si="8"/>
        <v>5.1552180902153955E-3</v>
      </c>
      <c r="H173" s="8">
        <f t="shared" si="11"/>
        <v>970312.37324761937</v>
      </c>
      <c r="I173" s="8">
        <f t="shared" si="9"/>
        <v>1000000</v>
      </c>
      <c r="J173" s="13">
        <f t="shared" si="10"/>
        <v>-2.9687626752380632E-2</v>
      </c>
    </row>
    <row r="174" spans="1:10" x14ac:dyDescent="0.25">
      <c r="A174" s="5">
        <v>44706</v>
      </c>
      <c r="B174">
        <f>(Prices!B1086/Prices!B1085)-1</f>
        <v>1.52657189199501E-3</v>
      </c>
      <c r="C174">
        <f>(Prices!C1086/Prices!C1085)-1</f>
        <v>-1.1044493531082389E-2</v>
      </c>
      <c r="D174">
        <f>(Prices!D1086/Prices!D1085)-1</f>
        <v>-1.9722687066698441E-2</v>
      </c>
      <c r="E174">
        <f>(Prices!E1086/Prices!E1085)-1</f>
        <v>-6.9013715383943186E-3</v>
      </c>
      <c r="F174">
        <f>(Prices!F1086/Prices!F1085)-1</f>
        <v>-1.0701260127978784E-3</v>
      </c>
      <c r="G174">
        <f t="shared" si="8"/>
        <v>-7.4424212513956043E-3</v>
      </c>
      <c r="H174" s="8">
        <f t="shared" si="11"/>
        <v>963090.8998204692</v>
      </c>
      <c r="I174" s="8">
        <f t="shared" si="9"/>
        <v>1000000</v>
      </c>
      <c r="J174" s="13">
        <f t="shared" si="10"/>
        <v>-3.6909100179530793E-2</v>
      </c>
    </row>
    <row r="175" spans="1:10" x14ac:dyDescent="0.25">
      <c r="A175" s="6">
        <v>44707</v>
      </c>
      <c r="B175">
        <f>(Prices!B1085/Prices!B1084)-1</f>
        <v>-1.8449147780483233E-2</v>
      </c>
      <c r="C175">
        <f>(Prices!C1085/Prices!C1084)-1</f>
        <v>-1.2695692810966497E-2</v>
      </c>
      <c r="D175">
        <f>(Prices!D1085/Prices!D1084)-1</f>
        <v>-3.573130061934271E-3</v>
      </c>
      <c r="E175">
        <f>(Prices!E1085/Prices!E1084)-1</f>
        <v>-1.7003005581794794E-2</v>
      </c>
      <c r="F175">
        <f>(Prices!F1085/Prices!F1084)-1</f>
        <v>-8.2306309428404889E-3</v>
      </c>
      <c r="G175">
        <f t="shared" si="8"/>
        <v>-1.1990321435603857E-2</v>
      </c>
      <c r="H175" s="8">
        <f t="shared" si="11"/>
        <v>951543.13035991683</v>
      </c>
      <c r="I175" s="8">
        <f t="shared" si="9"/>
        <v>1000000</v>
      </c>
      <c r="J175" s="13">
        <f t="shared" si="10"/>
        <v>-4.8456869640083167E-2</v>
      </c>
    </row>
    <row r="176" spans="1:10" x14ac:dyDescent="0.25">
      <c r="A176" s="5">
        <v>44708</v>
      </c>
      <c r="B176">
        <f>(Prices!B1084/Prices!B1083)-1</f>
        <v>-4.0266043501707705E-2</v>
      </c>
      <c r="C176">
        <f>(Prices!C1084/Prices!C1083)-1</f>
        <v>-2.6869291696668962E-2</v>
      </c>
      <c r="D176">
        <f>(Prices!D1084/Prices!D1083)-1</f>
        <v>-9.6720924746402925E-3</v>
      </c>
      <c r="E176">
        <f>(Prices!E1084/Prices!E1083)-1</f>
        <v>-1.3971210838272574E-2</v>
      </c>
      <c r="F176">
        <f>(Prices!F1084/Prices!F1083)-1</f>
        <v>-9.6314728216568835E-3</v>
      </c>
      <c r="G176">
        <f t="shared" si="8"/>
        <v>-2.0082022266589283E-2</v>
      </c>
      <c r="H176" s="8">
        <f t="shared" si="11"/>
        <v>932434.22002840892</v>
      </c>
      <c r="I176" s="8">
        <f t="shared" si="9"/>
        <v>1000000</v>
      </c>
      <c r="J176" s="13">
        <f t="shared" si="10"/>
        <v>-6.7565779971591078E-2</v>
      </c>
    </row>
    <row r="177" spans="1:10" x14ac:dyDescent="0.25">
      <c r="A177" s="6">
        <v>44712</v>
      </c>
      <c r="B177">
        <f>(Prices!B1083/Prices!B1082)-1</f>
        <v>-1.268967965214296E-2</v>
      </c>
      <c r="C177">
        <f>(Prices!C1083/Prices!C1082)-1</f>
        <v>5.0276137878499938E-3</v>
      </c>
      <c r="D177">
        <f>(Prices!D1083/Prices!D1082)-1</f>
        <v>1.6546762589928043E-2</v>
      </c>
      <c r="E177">
        <f>(Prices!E1083/Prices!E1082)-1</f>
        <v>-7.229320780094195E-3</v>
      </c>
      <c r="F177">
        <f>(Prices!F1083/Prices!F1082)-1</f>
        <v>2.0802312341245521E-2</v>
      </c>
      <c r="G177">
        <f t="shared" si="8"/>
        <v>4.4915376573572809E-3</v>
      </c>
      <c r="H177" s="8">
        <f t="shared" si="11"/>
        <v>936622.28344067512</v>
      </c>
      <c r="I177" s="8">
        <f t="shared" si="9"/>
        <v>1000000</v>
      </c>
      <c r="J177" s="13">
        <f t="shared" si="10"/>
        <v>-6.3377716559324879E-2</v>
      </c>
    </row>
    <row r="178" spans="1:10" x14ac:dyDescent="0.25">
      <c r="A178" s="5">
        <v>44713</v>
      </c>
      <c r="B178">
        <f>(Prices!B1082/Prices!B1081)-1</f>
        <v>-1.1522779648998061E-3</v>
      </c>
      <c r="C178">
        <f>(Prices!C1082/Prices!C1081)-1</f>
        <v>-2.0145963205108197E-3</v>
      </c>
      <c r="D178">
        <f>(Prices!D1082/Prices!D1081)-1</f>
        <v>-1.8823529411764683E-2</v>
      </c>
      <c r="E178">
        <f>(Prices!E1082/Prices!E1081)-1</f>
        <v>1.7796030116358663E-2</v>
      </c>
      <c r="F178">
        <f>(Prices!F1082/Prices!F1081)-1</f>
        <v>8.5689045936394592E-3</v>
      </c>
      <c r="G178">
        <f t="shared" si="8"/>
        <v>8.7490620256456251E-4</v>
      </c>
      <c r="H178" s="8">
        <f t="shared" si="11"/>
        <v>937441.74008591752</v>
      </c>
      <c r="I178" s="8">
        <f t="shared" si="9"/>
        <v>1000000</v>
      </c>
      <c r="J178" s="13">
        <f t="shared" si="10"/>
        <v>-6.2558259914082481E-2</v>
      </c>
    </row>
    <row r="179" spans="1:10" x14ac:dyDescent="0.25">
      <c r="A179" s="6">
        <v>44714</v>
      </c>
      <c r="B179">
        <f>(Prices!B1081/Prices!B1080)-1</f>
        <v>-3.1671101193030737E-2</v>
      </c>
      <c r="C179">
        <f>(Prices!C1081/Prices!C1080)-1</f>
        <v>-7.8817362446733652E-3</v>
      </c>
      <c r="D179">
        <f>(Prices!D1081/Prices!D1080)-1</f>
        <v>1.767825574543469E-3</v>
      </c>
      <c r="E179">
        <f>(Prices!E1081/Prices!E1080)-1</f>
        <v>-1.5830245874031701E-2</v>
      </c>
      <c r="F179">
        <f>(Prices!F1081/Prices!F1080)-1</f>
        <v>5.9664552626359502E-4</v>
      </c>
      <c r="G179">
        <f t="shared" si="8"/>
        <v>-1.0603722442185748E-2</v>
      </c>
      <c r="H179" s="8">
        <f t="shared" si="11"/>
        <v>927501.36806832685</v>
      </c>
      <c r="I179" s="8">
        <f t="shared" si="9"/>
        <v>1000000</v>
      </c>
      <c r="J179" s="13">
        <f t="shared" si="10"/>
        <v>-7.2498631931673149E-2</v>
      </c>
    </row>
    <row r="180" spans="1:10" x14ac:dyDescent="0.25">
      <c r="A180" s="5">
        <v>44715</v>
      </c>
      <c r="B180">
        <f>(Prices!B1080/Prices!B1079)-1</f>
        <v>2.6881720430107725E-2</v>
      </c>
      <c r="C180">
        <f>(Prices!C1080/Prices!C1079)-1</f>
        <v>1.6912103083295049E-2</v>
      </c>
      <c r="D180">
        <f>(Prices!D1080/Prices!D1079)-1</f>
        <v>-1.4289033457249078E-2</v>
      </c>
      <c r="E180">
        <f>(Prices!E1080/Prices!E1079)-1</f>
        <v>1.4175918018787481E-2</v>
      </c>
      <c r="F180">
        <f>(Prices!F1080/Prices!F1079)-1</f>
        <v>1.3686662783925385E-2</v>
      </c>
      <c r="G180">
        <f t="shared" si="8"/>
        <v>1.1473474171773312E-2</v>
      </c>
      <c r="H180" s="8">
        <f t="shared" si="11"/>
        <v>938143.03105914313</v>
      </c>
      <c r="I180" s="8">
        <f t="shared" si="9"/>
        <v>1000000</v>
      </c>
      <c r="J180" s="13">
        <f t="shared" si="10"/>
        <v>-6.185696894085687E-2</v>
      </c>
    </row>
    <row r="181" spans="1:10" x14ac:dyDescent="0.25">
      <c r="A181" s="6">
        <v>44718</v>
      </c>
      <c r="B181">
        <f>(Prices!B1079/Prices!B1078)-1</f>
        <v>-1.9529899758036651E-2</v>
      </c>
      <c r="C181">
        <f>(Prices!C1079/Prices!C1078)-1</f>
        <v>4.7006241812437288E-3</v>
      </c>
      <c r="D181">
        <f>(Prices!D1079/Prices!D1078)-1</f>
        <v>2.4455572376846924E-3</v>
      </c>
      <c r="E181">
        <f>(Prices!E1079/Prices!E1078)-1</f>
        <v>3.3416159712107429E-3</v>
      </c>
      <c r="F181">
        <f>(Prices!F1079/Prices!F1078)-1</f>
        <v>-9.3204917668988641E-3</v>
      </c>
      <c r="G181">
        <f t="shared" si="8"/>
        <v>-3.6725188269592706E-3</v>
      </c>
      <c r="H181" s="8">
        <f t="shared" si="11"/>
        <v>934697.68311519781</v>
      </c>
      <c r="I181" s="8">
        <f t="shared" si="9"/>
        <v>1000000</v>
      </c>
      <c r="J181" s="13">
        <f t="shared" si="10"/>
        <v>-6.5302316884802189E-2</v>
      </c>
    </row>
    <row r="182" spans="1:10" x14ac:dyDescent="0.25">
      <c r="A182" s="5">
        <v>44719</v>
      </c>
      <c r="B182">
        <f>(Prices!B1078/Prices!B1077)-1</f>
        <v>-2.8436018957346265E-3</v>
      </c>
      <c r="C182">
        <f>(Prices!C1078/Prices!C1077)-1</f>
        <v>-1.3755889952880351E-2</v>
      </c>
      <c r="D182">
        <f>(Prices!D1078/Prices!D1077)-1</f>
        <v>-4.3763919821826147E-2</v>
      </c>
      <c r="E182">
        <f>(Prices!E1078/Prices!E1077)-1</f>
        <v>-2.6491198085797363E-3</v>
      </c>
      <c r="F182">
        <f>(Prices!F1078/Prices!F1077)-1</f>
        <v>-1.3917458094446222E-2</v>
      </c>
      <c r="G182">
        <f t="shared" si="8"/>
        <v>-1.5385997914693417E-2</v>
      </c>
      <c r="H182" s="8">
        <f t="shared" si="11"/>
        <v>920316.42651191866</v>
      </c>
      <c r="I182" s="8">
        <f t="shared" si="9"/>
        <v>1000000</v>
      </c>
      <c r="J182" s="13">
        <f t="shared" si="10"/>
        <v>-7.9683573488081333E-2</v>
      </c>
    </row>
    <row r="183" spans="1:10" x14ac:dyDescent="0.25">
      <c r="A183" s="6">
        <v>44720</v>
      </c>
      <c r="B183">
        <f>(Prices!B1077/Prices!B1076)-1</f>
        <v>-3.4456025497464626E-4</v>
      </c>
      <c r="C183">
        <f>(Prices!C1077/Prices!C1076)-1</f>
        <v>7.7353143907483712E-3</v>
      </c>
      <c r="D183">
        <f>(Prices!D1077/Prices!D1076)-1</f>
        <v>-1.1666299801893043E-2</v>
      </c>
      <c r="E183">
        <f>(Prices!E1077/Prices!E1076)-1</f>
        <v>1.6151441472733508E-2</v>
      </c>
      <c r="F183">
        <f>(Prices!F1077/Prices!F1076)-1</f>
        <v>7.2294467709941301E-3</v>
      </c>
      <c r="G183">
        <f t="shared" si="8"/>
        <v>3.8210685155216648E-3</v>
      </c>
      <c r="H183" s="8">
        <f t="shared" si="11"/>
        <v>923833.01863358088</v>
      </c>
      <c r="I183" s="8">
        <f t="shared" si="9"/>
        <v>1000000</v>
      </c>
      <c r="J183" s="13">
        <f t="shared" si="10"/>
        <v>-7.6166981366419112E-2</v>
      </c>
    </row>
    <row r="184" spans="1:10" x14ac:dyDescent="0.25">
      <c r="A184" s="5">
        <v>44721</v>
      </c>
      <c r="B184">
        <f>(Prices!B1076/Prices!B1075)-1</f>
        <v>2.0571428571428685E-2</v>
      </c>
      <c r="C184">
        <f>(Prices!C1076/Prices!C1075)-1</f>
        <v>2.1234992765241767E-2</v>
      </c>
      <c r="D184">
        <f>(Prices!D1076/Prices!D1075)-1</f>
        <v>2.2047244094488105E-2</v>
      </c>
      <c r="E184">
        <f>(Prices!E1076/Prices!E1075)-1</f>
        <v>2.1465318431789893E-2</v>
      </c>
      <c r="F184">
        <f>(Prices!F1076/Prices!F1075)-1</f>
        <v>8.3790811904074225E-3</v>
      </c>
      <c r="G184">
        <f t="shared" si="8"/>
        <v>1.8739613010671178E-2</v>
      </c>
      <c r="H184" s="8">
        <f t="shared" si="11"/>
        <v>941145.29188925435</v>
      </c>
      <c r="I184" s="8">
        <f t="shared" si="9"/>
        <v>1000000</v>
      </c>
      <c r="J184" s="13">
        <f t="shared" si="10"/>
        <v>-5.8854708110745647E-2</v>
      </c>
    </row>
    <row r="185" spans="1:10" x14ac:dyDescent="0.25">
      <c r="A185" s="6">
        <v>44722</v>
      </c>
      <c r="B185">
        <f>(Prices!B1075/Prices!B1074)-1</f>
        <v>3.3057851239669533E-2</v>
      </c>
      <c r="C185">
        <f>(Prices!C1075/Prices!C1074)-1</f>
        <v>4.6619187950229346E-2</v>
      </c>
      <c r="D185">
        <f>(Prices!D1075/Prices!D1074)-1</f>
        <v>1.8677667010427612E-2</v>
      </c>
      <c r="E185">
        <f>(Prices!E1075/Prices!E1074)-1</f>
        <v>4.8256624825662398E-2</v>
      </c>
      <c r="F185">
        <f>(Prices!F1075/Prices!F1074)-1</f>
        <v>9.9212138896995761E-3</v>
      </c>
      <c r="G185">
        <f t="shared" si="8"/>
        <v>3.1306508983137693E-2</v>
      </c>
      <c r="H185" s="8">
        <f t="shared" si="11"/>
        <v>970609.26542422303</v>
      </c>
      <c r="I185" s="8">
        <f t="shared" si="9"/>
        <v>1000000</v>
      </c>
      <c r="J185" s="13">
        <f t="shared" si="10"/>
        <v>-2.9390734575776966E-2</v>
      </c>
    </row>
    <row r="186" spans="1:10" x14ac:dyDescent="0.25">
      <c r="A186" s="5">
        <v>44725</v>
      </c>
      <c r="B186">
        <f>(Prices!B1074/Prices!B1073)-1</f>
        <v>4.4786032830439249E-2</v>
      </c>
      <c r="C186">
        <f>(Prices!C1074/Prices!C1073)-1</f>
        <v>4.4325710621927694E-2</v>
      </c>
      <c r="D186">
        <f>(Prices!D1074/Prices!D1073)-1</f>
        <v>4.8036507745886858E-2</v>
      </c>
      <c r="E186">
        <f>(Prices!E1074/Prices!E1073)-1</f>
        <v>3.0666027791087735E-2</v>
      </c>
      <c r="F186">
        <f>(Prices!F1074/Prices!F1073)-1</f>
        <v>3.1774705296556016E-2</v>
      </c>
      <c r="G186">
        <f t="shared" si="8"/>
        <v>3.9917796857179513E-2</v>
      </c>
      <c r="H186" s="8">
        <f t="shared" si="11"/>
        <v>1009353.8489091235</v>
      </c>
      <c r="I186" s="8">
        <f t="shared" si="9"/>
        <v>1009353.8489091235</v>
      </c>
      <c r="J186" s="13">
        <f t="shared" si="10"/>
        <v>0</v>
      </c>
    </row>
    <row r="187" spans="1:10" x14ac:dyDescent="0.25">
      <c r="A187" s="6">
        <v>44726</v>
      </c>
      <c r="B187">
        <f>(Prices!B1073/Prices!B1072)-1</f>
        <v>-3.027149749314062E-3</v>
      </c>
      <c r="C187">
        <f>(Prices!C1073/Prices!C1072)-1</f>
        <v>-9.1482783448393334E-3</v>
      </c>
      <c r="D187">
        <f>(Prices!D1073/Prices!D1072)-1</f>
        <v>-2.6350461133070047E-3</v>
      </c>
      <c r="E187">
        <f>(Prices!E1073/Prices!E1072)-1</f>
        <v>1.6858312219840021E-2</v>
      </c>
      <c r="F187">
        <f>(Prices!F1073/Prices!F1072)-1</f>
        <v>1.7221070486241885E-2</v>
      </c>
      <c r="G187">
        <f t="shared" si="8"/>
        <v>3.8537816997243012E-3</v>
      </c>
      <c r="H187" s="8">
        <f t="shared" si="11"/>
        <v>1013243.6783005958</v>
      </c>
      <c r="I187" s="8">
        <f t="shared" si="9"/>
        <v>1013243.6783005958</v>
      </c>
      <c r="J187" s="13">
        <f t="shared" si="10"/>
        <v>0</v>
      </c>
    </row>
    <row r="188" spans="1:10" x14ac:dyDescent="0.25">
      <c r="A188" s="5">
        <v>44727</v>
      </c>
      <c r="B188">
        <f>(Prices!B1072/Prices!B1071)-1</f>
        <v>-2.7775223029522733E-2</v>
      </c>
      <c r="C188">
        <f>(Prices!C1072/Prices!C1071)-1</f>
        <v>-2.8873442191420184E-2</v>
      </c>
      <c r="D188">
        <f>(Prices!D1072/Prices!D1071)-1</f>
        <v>1.273653566229993E-2</v>
      </c>
      <c r="E188">
        <f>(Prices!E1072/Prices!E1071)-1</f>
        <v>-1.1653664644129758E-2</v>
      </c>
      <c r="F188">
        <f>(Prices!F1072/Prices!F1071)-1</f>
        <v>-5.5523017453438239E-3</v>
      </c>
      <c r="G188">
        <f t="shared" si="8"/>
        <v>-1.2223619189623315E-2</v>
      </c>
      <c r="H188" s="8">
        <f t="shared" si="11"/>
        <v>1000858.1734307562</v>
      </c>
      <c r="I188" s="8">
        <f t="shared" si="9"/>
        <v>1013243.6783005958</v>
      </c>
      <c r="J188" s="13">
        <f t="shared" si="10"/>
        <v>-1.2223619189623282E-2</v>
      </c>
    </row>
    <row r="189" spans="1:10" x14ac:dyDescent="0.25">
      <c r="A189" s="6">
        <v>44728</v>
      </c>
      <c r="B189">
        <f>(Prices!B1071/Prices!B1070)-1</f>
        <v>3.5228030086641882E-2</v>
      </c>
      <c r="C189">
        <f>(Prices!C1071/Prices!C1070)-1</f>
        <v>2.7729636048526851E-2</v>
      </c>
      <c r="D189">
        <f>(Prices!D1071/Prices!D1070)-1</f>
        <v>3.8417936767854766E-2</v>
      </c>
      <c r="E189">
        <f>(Prices!E1071/Prices!E1070)-1</f>
        <v>1.7442430181283664E-2</v>
      </c>
      <c r="F189">
        <f>(Prices!F1071/Prices!F1070)-1</f>
        <v>1.4449699360695956E-2</v>
      </c>
      <c r="G189">
        <f t="shared" si="8"/>
        <v>2.6653546489000625E-2</v>
      </c>
      <c r="H189" s="8">
        <f t="shared" si="11"/>
        <v>1027534.593285189</v>
      </c>
      <c r="I189" s="8">
        <f t="shared" si="9"/>
        <v>1027534.593285189</v>
      </c>
      <c r="J189" s="13">
        <f t="shared" si="10"/>
        <v>0</v>
      </c>
    </row>
    <row r="190" spans="1:10" x14ac:dyDescent="0.25">
      <c r="A190" s="5">
        <v>44729</v>
      </c>
      <c r="B190">
        <f>(Prices!B1070/Prices!B1069)-1</f>
        <v>-1.0364647130877147E-2</v>
      </c>
      <c r="C190">
        <f>(Prices!C1070/Prices!C1069)-1</f>
        <v>-1.0829570162234514E-2</v>
      </c>
      <c r="D190">
        <f>(Prices!D1070/Prices!D1069)-1</f>
        <v>6.1079925153702419E-2</v>
      </c>
      <c r="E190">
        <f>(Prices!E1070/Prices!E1069)-1</f>
        <v>3.540171108270318E-3</v>
      </c>
      <c r="F190">
        <f>(Prices!F1070/Prices!F1069)-1</f>
        <v>8.8956025511917058E-3</v>
      </c>
      <c r="G190">
        <f t="shared" si="8"/>
        <v>1.0464296304010558E-2</v>
      </c>
      <c r="H190" s="8">
        <f t="shared" si="11"/>
        <v>1038287.0197319461</v>
      </c>
      <c r="I190" s="8">
        <f t="shared" si="9"/>
        <v>1038287.0197319461</v>
      </c>
      <c r="J190" s="13">
        <f t="shared" si="10"/>
        <v>0</v>
      </c>
    </row>
    <row r="191" spans="1:10" x14ac:dyDescent="0.25">
      <c r="A191" s="6">
        <v>44733</v>
      </c>
      <c r="B191">
        <f>(Prices!B1069/Prices!B1068)-1</f>
        <v>-3.9460584668295717E-2</v>
      </c>
      <c r="C191">
        <f>(Prices!C1069/Prices!C1068)-1</f>
        <v>-2.3996082272282004E-2</v>
      </c>
      <c r="D191">
        <f>(Prices!D1069/Prices!D1068)-1</f>
        <v>-5.8512646281615788E-2</v>
      </c>
      <c r="E191">
        <f>(Prices!E1069/Prices!E1068)-1</f>
        <v>-2.418194031282983E-2</v>
      </c>
      <c r="F191">
        <f>(Prices!F1069/Prices!F1068)-1</f>
        <v>-5.8831494143930629E-2</v>
      </c>
      <c r="G191">
        <f t="shared" si="8"/>
        <v>-4.0996549535790801E-2</v>
      </c>
      <c r="H191" s="8">
        <f t="shared" si="11"/>
        <v>995720.83449513675</v>
      </c>
      <c r="I191" s="8">
        <f t="shared" si="9"/>
        <v>1038287.0197319461</v>
      </c>
      <c r="J191" s="13">
        <f t="shared" si="10"/>
        <v>-4.0996549535790787E-2</v>
      </c>
    </row>
    <row r="192" spans="1:10" x14ac:dyDescent="0.25">
      <c r="A192" s="5">
        <v>44734</v>
      </c>
      <c r="B192">
        <f>(Prices!B1068/Prices!B1067)-1</f>
        <v>4.52734516479536E-4</v>
      </c>
      <c r="C192">
        <f>(Prices!C1068/Prices!C1067)-1</f>
        <v>2.413581509511209E-3</v>
      </c>
      <c r="D192">
        <f>(Prices!D1068/Prices!D1067)-1</f>
        <v>4.1137167561902332E-2</v>
      </c>
      <c r="E192">
        <f>(Prices!E1068/Prices!E1067)-1</f>
        <v>5.6938814900597823E-3</v>
      </c>
      <c r="F192">
        <f>(Prices!F1068/Prices!F1067)-1</f>
        <v>-1.9103063573578827E-2</v>
      </c>
      <c r="G192">
        <f t="shared" si="8"/>
        <v>6.118860300874808E-3</v>
      </c>
      <c r="H192" s="8">
        <f t="shared" si="11"/>
        <v>1001813.511180083</v>
      </c>
      <c r="I192" s="8">
        <f t="shared" si="9"/>
        <v>1038287.0197319461</v>
      </c>
      <c r="J192" s="13">
        <f t="shared" si="10"/>
        <v>-3.5128541394343314E-2</v>
      </c>
    </row>
    <row r="193" spans="1:10" x14ac:dyDescent="0.25">
      <c r="A193" s="6">
        <v>44735</v>
      </c>
      <c r="B193">
        <f>(Prices!B1067/Prices!B1066)-1</f>
        <v>-6.6558733585178054E-3</v>
      </c>
      <c r="C193">
        <f>(Prices!C1067/Prices!C1066)-1</f>
        <v>-2.2121769741579311E-2</v>
      </c>
      <c r="D193">
        <f>(Prices!D1067/Prices!D1066)-1</f>
        <v>3.1068485749020658E-2</v>
      </c>
      <c r="E193">
        <f>(Prices!E1067/Prices!E1066)-1</f>
        <v>1.1025465899112241E-2</v>
      </c>
      <c r="F193">
        <f>(Prices!F1067/Prices!F1066)-1</f>
        <v>-2.0277157294354975E-2</v>
      </c>
      <c r="G193">
        <f t="shared" si="8"/>
        <v>-1.3921697492638384E-3</v>
      </c>
      <c r="H193" s="8">
        <f t="shared" si="11"/>
        <v>1000418.8167154144</v>
      </c>
      <c r="I193" s="8">
        <f t="shared" si="9"/>
        <v>1038287.0197319461</v>
      </c>
      <c r="J193" s="13">
        <f t="shared" si="10"/>
        <v>-3.6471806250942117E-2</v>
      </c>
    </row>
    <row r="194" spans="1:10" x14ac:dyDescent="0.25">
      <c r="A194" s="5">
        <v>44736</v>
      </c>
      <c r="B194">
        <f>(Prices!B1066/Prices!B1065)-1</f>
        <v>-4.8605168577785296E-2</v>
      </c>
      <c r="C194">
        <f>(Prices!C1066/Prices!C1065)-1</f>
        <v>-3.3034194646448967E-2</v>
      </c>
      <c r="D194">
        <f>(Prices!D1066/Prices!D1065)-1</f>
        <v>-1.9340309974831049E-2</v>
      </c>
      <c r="E194">
        <f>(Prices!E1066/Prices!E1065)-1</f>
        <v>-2.8990999526290917E-2</v>
      </c>
      <c r="F194">
        <f>(Prices!F1066/Prices!F1065)-1</f>
        <v>8.419717447404107E-3</v>
      </c>
      <c r="G194">
        <f t="shared" ref="G194:G257" si="12">B194*20%+C194*20%+D194*20%+E194*20%+F194*20%</f>
        <v>-2.4310191055590426E-2</v>
      </c>
      <c r="H194" s="8">
        <f t="shared" si="11"/>
        <v>976098.44414545503</v>
      </c>
      <c r="I194" s="8">
        <f t="shared" ref="I194:I257" si="13">MAX(I193,H194)</f>
        <v>1038287.0197319461</v>
      </c>
      <c r="J194" s="13">
        <f t="shared" ref="J194:J257" si="14">(H194-I194)/I194</f>
        <v>-5.9895360728429617E-2</v>
      </c>
    </row>
    <row r="195" spans="1:10" x14ac:dyDescent="0.25">
      <c r="A195" s="6">
        <v>44739</v>
      </c>
      <c r="B195">
        <f>(Prices!B1065/Prices!B1064)-1</f>
        <v>1.8476555691127716E-2</v>
      </c>
      <c r="C195">
        <f>(Prices!C1065/Prices!C1064)-1</f>
        <v>1.0593800086001304E-2</v>
      </c>
      <c r="D195">
        <f>(Prices!D1065/Prices!D1064)-1</f>
        <v>-2.3920351693819564E-2</v>
      </c>
      <c r="E195">
        <f>(Prices!E1065/Prices!E1064)-1</f>
        <v>8.1184336198663054E-3</v>
      </c>
      <c r="F195">
        <f>(Prices!F1065/Prices!F1064)-1</f>
        <v>-1.9828085142869378E-2</v>
      </c>
      <c r="G195">
        <f t="shared" si="12"/>
        <v>-1.3119294879387236E-3</v>
      </c>
      <c r="H195" s="8">
        <f t="shared" si="11"/>
        <v>974817.87181344954</v>
      </c>
      <c r="I195" s="8">
        <f t="shared" si="13"/>
        <v>1038287.0197319461</v>
      </c>
      <c r="J195" s="13">
        <f t="shared" si="14"/>
        <v>-6.112871172643794E-2</v>
      </c>
    </row>
    <row r="196" spans="1:10" x14ac:dyDescent="0.25">
      <c r="A196" s="5">
        <v>44740</v>
      </c>
      <c r="B196">
        <f>(Prices!B1064/Prices!B1063)-1</f>
        <v>3.4159531320414604E-2</v>
      </c>
      <c r="C196">
        <f>(Prices!C1064/Prices!C1063)-1</f>
        <v>3.2782914126529228E-2</v>
      </c>
      <c r="D196">
        <f>(Prices!D1064/Prices!D1063)-1</f>
        <v>-2.704742734935206E-2</v>
      </c>
      <c r="E196">
        <f>(Prices!E1064/Prices!E1063)-1</f>
        <v>4.7984644913627861E-3</v>
      </c>
      <c r="F196">
        <f>(Prices!F1064/Prices!F1063)-1</f>
        <v>-5.457607606540571E-3</v>
      </c>
      <c r="G196">
        <f t="shared" si="12"/>
        <v>7.8471749964827975E-3</v>
      </c>
      <c r="H196" s="8">
        <f t="shared" ref="H196:H259" si="15">H195*(1+G196)</f>
        <v>982467.43824326864</v>
      </c>
      <c r="I196" s="8">
        <f t="shared" si="13"/>
        <v>1038287.0197319461</v>
      </c>
      <c r="J196" s="13">
        <f t="shared" si="14"/>
        <v>-5.3761224428182028E-2</v>
      </c>
    </row>
    <row r="197" spans="1:10" x14ac:dyDescent="0.25">
      <c r="A197" s="6">
        <v>44741</v>
      </c>
      <c r="B197">
        <f>(Prices!B1063/Prices!B1062)-1</f>
        <v>2.7112516945322351E-3</v>
      </c>
      <c r="C197">
        <f>(Prices!C1063/Prices!C1062)-1</f>
        <v>-1.4522161215882901E-2</v>
      </c>
      <c r="D197">
        <f>(Prices!D1063/Prices!D1062)-1</f>
        <v>3.8406270411495802E-2</v>
      </c>
      <c r="E197">
        <f>(Prices!E1063/Prices!E1062)-1</f>
        <v>4.5309939265401056E-3</v>
      </c>
      <c r="F197">
        <f>(Prices!F1063/Prices!F1062)-1</f>
        <v>-1.4103156921266069E-2</v>
      </c>
      <c r="G197">
        <f t="shared" si="12"/>
        <v>3.4046395790838348E-3</v>
      </c>
      <c r="H197" s="8">
        <f t="shared" si="15"/>
        <v>985812.3857686728</v>
      </c>
      <c r="I197" s="8">
        <f t="shared" si="13"/>
        <v>1038287.0197319461</v>
      </c>
      <c r="J197" s="13">
        <f t="shared" si="14"/>
        <v>-5.0539622441606369E-2</v>
      </c>
    </row>
    <row r="198" spans="1:10" x14ac:dyDescent="0.25">
      <c r="A198" s="5">
        <v>44742</v>
      </c>
      <c r="B198">
        <f>(Prices!B1062/Prices!B1061)-1</f>
        <v>2.5106540670743138E-2</v>
      </c>
      <c r="C198">
        <f>(Prices!C1062/Prices!C1061)-1</f>
        <v>1.3386017256672877E-2</v>
      </c>
      <c r="D198">
        <f>(Prices!D1062/Prices!D1061)-1</f>
        <v>2.889784946236551E-2</v>
      </c>
      <c r="E198">
        <f>(Prices!E1062/Prices!E1061)-1</f>
        <v>2.3887079261672106E-2</v>
      </c>
      <c r="F198">
        <f>(Prices!F1062/Prices!F1061)-1</f>
        <v>4.051829654328154E-3</v>
      </c>
      <c r="G198">
        <f t="shared" si="12"/>
        <v>1.9065863261156359E-2</v>
      </c>
      <c r="H198" s="8">
        <f t="shared" si="15"/>
        <v>1004607.7499168927</v>
      </c>
      <c r="I198" s="8">
        <f t="shared" si="13"/>
        <v>1038287.0197319461</v>
      </c>
      <c r="J198" s="13">
        <f t="shared" si="14"/>
        <v>-3.2437340711192059E-2</v>
      </c>
    </row>
    <row r="199" spans="1:10" x14ac:dyDescent="0.25">
      <c r="A199" s="6">
        <v>44743</v>
      </c>
      <c r="B199">
        <f>(Prices!B1061/Prices!B1060)-1</f>
        <v>2.135363476000407E-3</v>
      </c>
      <c r="C199">
        <f>(Prices!C1061/Prices!C1060)-1</f>
        <v>-1.0611137705441198E-2</v>
      </c>
      <c r="D199">
        <f>(Prices!D1061/Prices!D1060)-1</f>
        <v>-2.1824875098606311E-2</v>
      </c>
      <c r="E199">
        <f>(Prices!E1061/Prices!E1060)-1</f>
        <v>-1.2669330474612606E-2</v>
      </c>
      <c r="F199">
        <f>(Prices!F1061/Prices!F1060)-1</f>
        <v>-7.2904009720533569E-3</v>
      </c>
      <c r="G199">
        <f t="shared" si="12"/>
        <v>-1.0052076154942614E-2</v>
      </c>
      <c r="H199" s="8">
        <f t="shared" si="15"/>
        <v>994509.35630888259</v>
      </c>
      <c r="I199" s="8">
        <f t="shared" si="13"/>
        <v>1038287.0197319461</v>
      </c>
      <c r="J199" s="13">
        <f t="shared" si="14"/>
        <v>-4.2163354247041943E-2</v>
      </c>
    </row>
    <row r="200" spans="1:10" x14ac:dyDescent="0.25">
      <c r="A200" s="5">
        <v>44747</v>
      </c>
      <c r="B200">
        <f>(Prices!B1060/Prices!B1059)-1</f>
        <v>-4.0017825311943089E-2</v>
      </c>
      <c r="C200">
        <f>(Prices!C1060/Prices!C1059)-1</f>
        <v>-1.2448786637251796E-2</v>
      </c>
      <c r="D200">
        <f>(Prices!D1060/Prices!D1059)-1</f>
        <v>3.2301845819761033E-2</v>
      </c>
      <c r="E200">
        <f>(Prices!E1060/Prices!E1059)-1</f>
        <v>3.8153003326160118E-3</v>
      </c>
      <c r="F200">
        <f>(Prices!F1060/Prices!F1059)-1</f>
        <v>2.407105466403503E-2</v>
      </c>
      <c r="G200">
        <f t="shared" si="12"/>
        <v>1.5443177734434385E-3</v>
      </c>
      <c r="H200" s="8">
        <f t="shared" si="15"/>
        <v>996045.19478368631</v>
      </c>
      <c r="I200" s="8">
        <f t="shared" si="13"/>
        <v>1038287.0197319461</v>
      </c>
      <c r="J200" s="13">
        <f t="shared" si="14"/>
        <v>-4.0684150090950083E-2</v>
      </c>
    </row>
    <row r="201" spans="1:10" x14ac:dyDescent="0.25">
      <c r="A201" s="6">
        <v>44748</v>
      </c>
      <c r="B201">
        <f>(Prices!B1059/Prices!B1058)-1</f>
        <v>-1.1366640232619574E-2</v>
      </c>
      <c r="C201">
        <f>(Prices!C1059/Prices!C1058)-1</f>
        <v>-1.2603080753072926E-2</v>
      </c>
      <c r="D201">
        <f>(Prices!D1059/Prices!D1058)-1</f>
        <v>1.838286109191456E-2</v>
      </c>
      <c r="E201">
        <f>(Prices!E1059/Prices!E1058)-1</f>
        <v>6.5977351058592593E-3</v>
      </c>
      <c r="F201">
        <f>(Prices!F1059/Prices!F1058)-1</f>
        <v>-1.9499779128715367E-2</v>
      </c>
      <c r="G201">
        <f t="shared" si="12"/>
        <v>-3.6977807833268091E-3</v>
      </c>
      <c r="H201" s="8">
        <f t="shared" si="15"/>
        <v>992362.03800309019</v>
      </c>
      <c r="I201" s="8">
        <f t="shared" si="13"/>
        <v>1038287.0197319461</v>
      </c>
      <c r="J201" s="13">
        <f t="shared" si="14"/>
        <v>-4.4231489805884594E-2</v>
      </c>
    </row>
    <row r="202" spans="1:10" x14ac:dyDescent="0.25">
      <c r="A202" s="5">
        <v>44749</v>
      </c>
      <c r="B202">
        <f>(Prices!B1058/Prices!B1057)-1</f>
        <v>-3.5441101478837389E-2</v>
      </c>
      <c r="C202">
        <f>(Prices!C1058/Prices!C1057)-1</f>
        <v>-8.179012345679082E-3</v>
      </c>
      <c r="D202">
        <f>(Prices!D1058/Prices!D1057)-1</f>
        <v>-3.0940262523439621E-2</v>
      </c>
      <c r="E202">
        <f>(Prices!E1058/Prices!E1057)-1</f>
        <v>-2.468305800998849E-2</v>
      </c>
      <c r="F202">
        <f>(Prices!F1058/Prices!F1057)-1</f>
        <v>1.7700979875672207E-3</v>
      </c>
      <c r="G202">
        <f t="shared" si="12"/>
        <v>-1.9494667274075471E-2</v>
      </c>
      <c r="H202" s="8">
        <f t="shared" si="15"/>
        <v>973016.2702567965</v>
      </c>
      <c r="I202" s="8">
        <f t="shared" si="13"/>
        <v>1038287.0197319461</v>
      </c>
      <c r="J202" s="13">
        <f t="shared" si="14"/>
        <v>-6.2863878903157686E-2</v>
      </c>
    </row>
    <row r="203" spans="1:10" x14ac:dyDescent="0.25">
      <c r="A203" s="6">
        <v>44750</v>
      </c>
      <c r="B203">
        <f>(Prices!B1057/Prices!B1056)-1</f>
        <v>-4.821111393047528E-3</v>
      </c>
      <c r="C203">
        <f>(Prices!C1057/Prices!C1056)-1</f>
        <v>2.7855153203342198E-3</v>
      </c>
      <c r="D203">
        <f>(Prices!D1057/Prices!D1056)-1</f>
        <v>-1.6047071409468483E-3</v>
      </c>
      <c r="E203">
        <f>(Prices!E1057/Prices!E1056)-1</f>
        <v>3.082851637765005E-3</v>
      </c>
      <c r="F203">
        <f>(Prices!F1057/Prices!F1056)-1</f>
        <v>-8.1927811566033792E-3</v>
      </c>
      <c r="G203">
        <f t="shared" si="12"/>
        <v>-1.7500465464997063E-3</v>
      </c>
      <c r="H203" s="8">
        <f t="shared" si="15"/>
        <v>971313.44649334555</v>
      </c>
      <c r="I203" s="8">
        <f t="shared" si="13"/>
        <v>1038287.0197319461</v>
      </c>
      <c r="J203" s="13">
        <f t="shared" si="14"/>
        <v>-6.4503910735483366E-2</v>
      </c>
    </row>
    <row r="204" spans="1:10" x14ac:dyDescent="0.25">
      <c r="A204" s="5">
        <v>44753</v>
      </c>
      <c r="B204">
        <f>(Prices!B1056/Prices!B1055)-1</f>
        <v>3.1765424557116617E-2</v>
      </c>
      <c r="C204">
        <f>(Prices!C1056/Prices!C1055)-1</f>
        <v>1.1901033510804959E-2</v>
      </c>
      <c r="D204">
        <f>(Prices!D1056/Prices!D1055)-1</f>
        <v>5.1075268817204478E-3</v>
      </c>
      <c r="E204">
        <f>(Prices!E1056/Prices!E1055)-1</f>
        <v>1.3374987796543891E-2</v>
      </c>
      <c r="F204">
        <f>(Prices!F1056/Prices!F1055)-1</f>
        <v>3.2500209678771874E-3</v>
      </c>
      <c r="G204">
        <f t="shared" si="12"/>
        <v>1.3079798742812622E-2</v>
      </c>
      <c r="H204" s="8">
        <f t="shared" si="15"/>
        <v>984018.03088966617</v>
      </c>
      <c r="I204" s="8">
        <f t="shared" si="13"/>
        <v>1038287.0197319461</v>
      </c>
      <c r="J204" s="13">
        <f t="shared" si="14"/>
        <v>-5.2267810163215252E-2</v>
      </c>
    </row>
    <row r="205" spans="1:10" x14ac:dyDescent="0.25">
      <c r="A205" s="6">
        <v>44754</v>
      </c>
      <c r="B205">
        <f>(Prices!B1055/Prices!B1054)-1</f>
        <v>1.4519698981850349E-2</v>
      </c>
      <c r="C205">
        <f>(Prices!C1055/Prices!C1054)-1</f>
        <v>4.2739927338041328E-2</v>
      </c>
      <c r="D205">
        <f>(Prices!D1055/Prices!D1054)-1</f>
        <v>1.3485901103392095E-2</v>
      </c>
      <c r="E205">
        <f>(Prices!E1055/Prices!E1054)-1</f>
        <v>-9.7532429532809495E-4</v>
      </c>
      <c r="F205">
        <f>(Prices!F1055/Prices!F1054)-1</f>
        <v>4.9095008322974643E-3</v>
      </c>
      <c r="G205">
        <f t="shared" si="12"/>
        <v>1.4935940792050628E-2</v>
      </c>
      <c r="H205" s="8">
        <f t="shared" si="15"/>
        <v>998715.26593734452</v>
      </c>
      <c r="I205" s="8">
        <f t="shared" si="13"/>
        <v>1038287.0197319461</v>
      </c>
      <c r="J205" s="13">
        <f t="shared" si="14"/>
        <v>-3.8112538289092501E-2</v>
      </c>
    </row>
    <row r="206" spans="1:10" x14ac:dyDescent="0.25">
      <c r="A206" s="5">
        <v>44755</v>
      </c>
      <c r="B206">
        <f>(Prices!B1054/Prices!B1053)-1</f>
        <v>2.402538531278342E-2</v>
      </c>
      <c r="C206">
        <f>(Prices!C1054/Prices!C1053)-1</f>
        <v>3.7285913300006968E-3</v>
      </c>
      <c r="D206">
        <f>(Prices!D1054/Prices!D1053)-1</f>
        <v>-3.9348710990503299E-3</v>
      </c>
      <c r="E206">
        <f>(Prices!E1054/Prices!E1053)-1</f>
        <v>9.4516097272816513E-3</v>
      </c>
      <c r="F206">
        <f>(Prices!F1054/Prices!F1053)-1</f>
        <v>2.6295871807624938E-2</v>
      </c>
      <c r="G206">
        <f t="shared" si="12"/>
        <v>1.1913317415728077E-2</v>
      </c>
      <c r="H206" s="8">
        <f t="shared" si="15"/>
        <v>1010613.2779083893</v>
      </c>
      <c r="I206" s="8">
        <f t="shared" si="13"/>
        <v>1038287.0197319461</v>
      </c>
      <c r="J206" s="13">
        <f t="shared" si="14"/>
        <v>-2.6653267639521517E-2</v>
      </c>
    </row>
    <row r="207" spans="1:10" x14ac:dyDescent="0.25">
      <c r="A207" s="6">
        <v>44756</v>
      </c>
      <c r="B207">
        <f>(Prices!B1053/Prices!B1052)-1</f>
        <v>8.8722217140766446E-3</v>
      </c>
      <c r="C207">
        <f>(Prices!C1053/Prices!C1052)-1</f>
        <v>-5.3388759832090349E-3</v>
      </c>
      <c r="D207">
        <f>(Prices!D1053/Prices!D1052)-1</f>
        <v>2.0351654437214428E-2</v>
      </c>
      <c r="E207">
        <f>(Prices!E1053/Prices!E1052)-1</f>
        <v>3.621709855131594E-2</v>
      </c>
      <c r="F207">
        <f>(Prices!F1053/Prices!F1052)-1</f>
        <v>-2.373093435160567E-3</v>
      </c>
      <c r="G207">
        <f t="shared" si="12"/>
        <v>1.1545801056847485E-2</v>
      </c>
      <c r="H207" s="8">
        <f t="shared" si="15"/>
        <v>1022281.6177605281</v>
      </c>
      <c r="I207" s="8">
        <f t="shared" si="13"/>
        <v>1038287.0197319461</v>
      </c>
      <c r="J207" s="13">
        <f t="shared" si="14"/>
        <v>-1.541519990835487E-2</v>
      </c>
    </row>
    <row r="208" spans="1:10" x14ac:dyDescent="0.25">
      <c r="A208" s="5">
        <v>44757</v>
      </c>
      <c r="B208">
        <f>(Prices!B1052/Prices!B1051)-1</f>
        <v>-1.2554190751445038E-2</v>
      </c>
      <c r="C208">
        <f>(Prices!C1052/Prices!C1051)-1</f>
        <v>-1.0285575992255547E-2</v>
      </c>
      <c r="D208">
        <f>(Prices!D1052/Prices!D1051)-1</f>
        <v>-1.6476034858387667E-2</v>
      </c>
      <c r="E208">
        <f>(Prices!E1052/Prices!E1051)-1</f>
        <v>-4.3893874365977359E-2</v>
      </c>
      <c r="F208">
        <f>(Prices!F1052/Prices!F1051)-1</f>
        <v>-5.1562212264440577E-2</v>
      </c>
      <c r="G208">
        <f t="shared" si="12"/>
        <v>-2.6954377646501236E-2</v>
      </c>
      <c r="H208" s="8">
        <f t="shared" si="15"/>
        <v>994726.65297433466</v>
      </c>
      <c r="I208" s="8">
        <f t="shared" si="13"/>
        <v>1038287.0197319461</v>
      </c>
      <c r="J208" s="13">
        <f t="shared" si="14"/>
        <v>-4.1954070435029946E-2</v>
      </c>
    </row>
    <row r="209" spans="1:10" x14ac:dyDescent="0.25">
      <c r="A209" s="6">
        <v>44760</v>
      </c>
      <c r="B209">
        <f>(Prices!B1051/Prices!B1050)-1</f>
        <v>2.5185185185185199E-2</v>
      </c>
      <c r="C209">
        <f>(Prices!C1051/Prices!C1050)-1</f>
        <v>9.7340447195861657E-3</v>
      </c>
      <c r="D209">
        <f>(Prices!D1051/Prices!D1050)-1</f>
        <v>-1.8181818181818188E-2</v>
      </c>
      <c r="E209">
        <f>(Prices!E1051/Prices!E1050)-1</f>
        <v>1.0447466982062004E-2</v>
      </c>
      <c r="F209">
        <f>(Prices!F1051/Prices!F1050)-1</f>
        <v>1.9993738912657877E-2</v>
      </c>
      <c r="G209">
        <f t="shared" si="12"/>
        <v>9.4357235235346115E-3</v>
      </c>
      <c r="H209" s="8">
        <f t="shared" si="15"/>
        <v>1004112.6186532916</v>
      </c>
      <c r="I209" s="8">
        <f t="shared" si="13"/>
        <v>1038287.0197319461</v>
      </c>
      <c r="J209" s="13">
        <f t="shared" si="14"/>
        <v>-3.2914213920807019E-2</v>
      </c>
    </row>
    <row r="210" spans="1:10" x14ac:dyDescent="0.25">
      <c r="A210" s="5">
        <v>44761</v>
      </c>
      <c r="B210">
        <f>(Prices!B1050/Prices!B1049)-1</f>
        <v>-4.2043640234167068E-2</v>
      </c>
      <c r="C210">
        <f>(Prices!C1050/Prices!C1049)-1</f>
        <v>-2.0348721222519184E-2</v>
      </c>
      <c r="D210">
        <f>(Prices!D1050/Prices!D1049)-1</f>
        <v>-2.4517475221700669E-2</v>
      </c>
      <c r="E210">
        <f>(Prices!E1050/Prices!E1049)-1</f>
        <v>-2.4235429890363647E-2</v>
      </c>
      <c r="F210">
        <f>(Prices!F1050/Prices!F1049)-1</f>
        <v>-2.639492827244283E-2</v>
      </c>
      <c r="G210">
        <f t="shared" si="12"/>
        <v>-2.7508038968238682E-2</v>
      </c>
      <c r="H210" s="8">
        <f t="shared" si="15"/>
        <v>976491.44961087662</v>
      </c>
      <c r="I210" s="8">
        <f t="shared" si="13"/>
        <v>1038287.0197319461</v>
      </c>
      <c r="J210" s="13">
        <f t="shared" si="14"/>
        <v>-5.9516847409903248E-2</v>
      </c>
    </row>
    <row r="211" spans="1:10" x14ac:dyDescent="0.25">
      <c r="A211" s="6">
        <v>44762</v>
      </c>
      <c r="B211">
        <f>(Prices!B1049/Prices!B1048)-1</f>
        <v>-7.9766019675620026E-4</v>
      </c>
      <c r="C211">
        <f>(Prices!C1049/Prices!C1048)-1</f>
        <v>-1.0462728995577986E-2</v>
      </c>
      <c r="D211">
        <f>(Prices!D1049/Prices!D1048)-1</f>
        <v>-1.0963498000773786E-2</v>
      </c>
      <c r="E211">
        <f>(Prices!E1049/Prices!E1048)-1</f>
        <v>1.9238168526358734E-4</v>
      </c>
      <c r="F211">
        <f>(Prices!F1049/Prices!F1048)-1</f>
        <v>2.6896191966614413E-2</v>
      </c>
      <c r="G211">
        <f t="shared" si="12"/>
        <v>9.7293729175400561E-4</v>
      </c>
      <c r="H211" s="8">
        <f t="shared" si="15"/>
        <v>977441.51455728197</v>
      </c>
      <c r="I211" s="8">
        <f t="shared" si="13"/>
        <v>1038287.0197319461</v>
      </c>
      <c r="J211" s="13">
        <f t="shared" si="14"/>
        <v>-5.8601816278481968E-2</v>
      </c>
    </row>
    <row r="212" spans="1:10" x14ac:dyDescent="0.25">
      <c r="A212" s="5">
        <v>44763</v>
      </c>
      <c r="B212">
        <f>(Prices!B1048/Prices!B1047)-1</f>
        <v>-3.796574253929097E-3</v>
      </c>
      <c r="C212">
        <f>(Prices!C1048/Prices!C1047)-1</f>
        <v>-9.6965905536440244E-3</v>
      </c>
      <c r="D212">
        <f>(Prices!D1048/Prices!D1047)-1</f>
        <v>1.7053653417289816E-2</v>
      </c>
      <c r="E212">
        <f>(Prices!E1048/Prices!E1047)-1</f>
        <v>-6.7832234642209999E-3</v>
      </c>
      <c r="F212">
        <f>(Prices!F1048/Prices!F1047)-1</f>
        <v>-5.705394190871349E-3</v>
      </c>
      <c r="G212">
        <f t="shared" si="12"/>
        <v>-1.785625809075131E-3</v>
      </c>
      <c r="H212" s="8">
        <f t="shared" si="15"/>
        <v>975696.16976202698</v>
      </c>
      <c r="I212" s="8">
        <f t="shared" si="13"/>
        <v>1038287.0197319461</v>
      </c>
      <c r="J212" s="13">
        <f t="shared" si="14"/>
        <v>-6.0282801171951582E-2</v>
      </c>
    </row>
    <row r="213" spans="1:10" x14ac:dyDescent="0.25">
      <c r="A213" s="6">
        <v>44764</v>
      </c>
      <c r="B213">
        <f>(Prices!B1047/Prices!B1046)-1</f>
        <v>5.9693113772455231E-2</v>
      </c>
      <c r="C213">
        <f>(Prices!C1047/Prices!C1046)-1</f>
        <v>1.7221493059698556E-2</v>
      </c>
      <c r="D213">
        <f>(Prices!D1047/Prices!D1046)-1</f>
        <v>7.6668869795109007E-3</v>
      </c>
      <c r="E213">
        <f>(Prices!E1047/Prices!E1046)-1</f>
        <v>4.8963133640553824E-3</v>
      </c>
      <c r="F213">
        <f>(Prices!F1047/Prices!F1046)-1</f>
        <v>1.9956760352568548E-3</v>
      </c>
      <c r="G213">
        <f t="shared" si="12"/>
        <v>1.8294696642195386E-2</v>
      </c>
      <c r="H213" s="8">
        <f t="shared" si="15"/>
        <v>993546.2352027751</v>
      </c>
      <c r="I213" s="8">
        <f t="shared" si="13"/>
        <v>1038287.0197319461</v>
      </c>
      <c r="J213" s="13">
        <f t="shared" si="14"/>
        <v>-4.3090960089938957E-2</v>
      </c>
    </row>
    <row r="214" spans="1:10" x14ac:dyDescent="0.25">
      <c r="A214" s="5">
        <v>44767</v>
      </c>
      <c r="B214">
        <f>(Prices!B1046/Prices!B1045)-1</f>
        <v>3.5680751173707836E-3</v>
      </c>
      <c r="C214">
        <f>(Prices!C1046/Prices!C1045)-1</f>
        <v>5.8809409505520271E-3</v>
      </c>
      <c r="D214">
        <f>(Prices!D1046/Prices!D1045)-1</f>
        <v>-3.2237431239605985E-2</v>
      </c>
      <c r="E214">
        <f>(Prices!E1046/Prices!E1045)-1</f>
        <v>-4.0160642570281624E-3</v>
      </c>
      <c r="F214">
        <f>(Prices!F1046/Prices!F1045)-1</f>
        <v>-1.5210760128564704E-2</v>
      </c>
      <c r="G214">
        <f t="shared" si="12"/>
        <v>-8.4030479114552085E-3</v>
      </c>
      <c r="H214" s="8">
        <f t="shared" si="15"/>
        <v>985197.41858612024</v>
      </c>
      <c r="I214" s="8">
        <f t="shared" si="13"/>
        <v>1038287.0197319461</v>
      </c>
      <c r="J214" s="13">
        <f t="shared" si="14"/>
        <v>-5.1131912599207803E-2</v>
      </c>
    </row>
    <row r="215" spans="1:10" x14ac:dyDescent="0.25">
      <c r="A215" s="6">
        <v>44768</v>
      </c>
      <c r="B215">
        <f>(Prices!B1045/Prices!B1044)-1</f>
        <v>2.3743151014130603E-2</v>
      </c>
      <c r="C215">
        <f>(Prices!C1045/Prices!C1044)-1</f>
        <v>2.754254706897985E-2</v>
      </c>
      <c r="D215">
        <f>(Prices!D1045/Prices!D1044)-1</f>
        <v>3.85257480416068E-3</v>
      </c>
      <c r="E215">
        <f>(Prices!E1045/Prices!E1044)-1</f>
        <v>1.59316106469789E-2</v>
      </c>
      <c r="F215">
        <f>(Prices!F1045/Prices!F1044)-1</f>
        <v>-3.9964928736007099E-3</v>
      </c>
      <c r="G215">
        <f t="shared" si="12"/>
        <v>1.3414678132129867E-2</v>
      </c>
      <c r="H215" s="8">
        <f t="shared" si="15"/>
        <v>998413.52485305828</v>
      </c>
      <c r="I215" s="8">
        <f t="shared" si="13"/>
        <v>1038287.0197319461</v>
      </c>
      <c r="J215" s="13">
        <f t="shared" si="14"/>
        <v>-3.8403152616876497E-2</v>
      </c>
    </row>
    <row r="216" spans="1:10" x14ac:dyDescent="0.25">
      <c r="A216" s="5">
        <v>44769</v>
      </c>
      <c r="B216">
        <f>(Prices!B1044/Prices!B1043)-1</f>
        <v>-7.1077774801321492E-2</v>
      </c>
      <c r="C216">
        <f>(Prices!C1044/Prices!C1043)-1</f>
        <v>-6.2690247755558093E-2</v>
      </c>
      <c r="D216">
        <f>(Prices!D1044/Prices!D1043)-1</f>
        <v>-2.1118793211816422E-2</v>
      </c>
      <c r="E216">
        <f>(Prices!E1044/Prices!E1043)-1</f>
        <v>-1.5775886796060901E-2</v>
      </c>
      <c r="F216">
        <f>(Prices!F1044/Prices!F1043)-1</f>
        <v>-5.6365442712028591E-3</v>
      </c>
      <c r="G216">
        <f t="shared" si="12"/>
        <v>-3.525984936719196E-2</v>
      </c>
      <c r="H216" s="8">
        <f t="shared" si="15"/>
        <v>963209.6143605723</v>
      </c>
      <c r="I216" s="8">
        <f t="shared" si="13"/>
        <v>1038287.0197319461</v>
      </c>
      <c r="J216" s="13">
        <f t="shared" si="14"/>
        <v>-7.2308912607572079E-2</v>
      </c>
    </row>
    <row r="217" spans="1:10" x14ac:dyDescent="0.25">
      <c r="A217" s="6">
        <v>44770</v>
      </c>
      <c r="B217">
        <f>(Prices!B1043/Prices!B1042)-1</f>
        <v>-1.0164398090860893E-2</v>
      </c>
      <c r="C217">
        <f>(Prices!C1043/Prices!C1042)-1</f>
        <v>-2.7722623908890132E-2</v>
      </c>
      <c r="D217">
        <f>(Prices!D1043/Prices!D1042)-1</f>
        <v>-1.1555666003976173E-2</v>
      </c>
      <c r="E217">
        <f>(Prices!E1043/Prices!E1042)-1</f>
        <v>3.7428023032630708E-3</v>
      </c>
      <c r="F217">
        <f>(Prices!F1043/Prices!F1042)-1</f>
        <v>-1.2711185843542361E-2</v>
      </c>
      <c r="G217">
        <f t="shared" si="12"/>
        <v>-1.1682214308801297E-2</v>
      </c>
      <c r="H217" s="8">
        <f t="shared" si="15"/>
        <v>951957.19322131423</v>
      </c>
      <c r="I217" s="8">
        <f t="shared" si="13"/>
        <v>1038287.0197319461</v>
      </c>
      <c r="J217" s="13">
        <f t="shared" si="14"/>
        <v>-8.3146398702855354E-2</v>
      </c>
    </row>
    <row r="218" spans="1:10" x14ac:dyDescent="0.25">
      <c r="A218" s="5">
        <v>44771</v>
      </c>
      <c r="B218">
        <f>(Prices!B1042/Prices!B1041)-1</f>
        <v>-1.8052421454608614E-2</v>
      </c>
      <c r="C218">
        <f>(Prices!C1042/Prices!C1041)-1</f>
        <v>-1.5418095975803237E-2</v>
      </c>
      <c r="D218">
        <f>(Prices!D1042/Prices!D1041)-1</f>
        <v>-4.4294026837667588E-2</v>
      </c>
      <c r="E218">
        <f>(Prices!E1042/Prices!E1041)-1</f>
        <v>-4.7755491881565915E-3</v>
      </c>
      <c r="F218">
        <f>(Prices!F1042/Prices!F1041)-1</f>
        <v>-1.5589399208537635E-3</v>
      </c>
      <c r="G218">
        <f t="shared" si="12"/>
        <v>-1.6819806675417961E-2</v>
      </c>
      <c r="H218" s="8">
        <f t="shared" si="15"/>
        <v>935945.45726805821</v>
      </c>
      <c r="I218" s="8">
        <f t="shared" si="13"/>
        <v>1038287.0197319461</v>
      </c>
      <c r="J218" s="13">
        <f t="shared" si="14"/>
        <v>-9.8567699026334082E-2</v>
      </c>
    </row>
    <row r="219" spans="1:10" x14ac:dyDescent="0.25">
      <c r="A219" s="6">
        <v>44774</v>
      </c>
      <c r="B219">
        <f>(Prices!B1041/Prices!B1040)-1</f>
        <v>1.2656002812444944E-2</v>
      </c>
      <c r="C219">
        <f>(Prices!C1041/Prices!C1040)-1</f>
        <v>9.795887961859373E-3</v>
      </c>
      <c r="D219">
        <f>(Prices!D1041/Prices!D1040)-1</f>
        <v>2.5950292397660668E-2</v>
      </c>
      <c r="E219">
        <f>(Prices!E1041/Prices!E1040)-1</f>
        <v>1.0032799536947801E-2</v>
      </c>
      <c r="F219">
        <f>(Prices!F1041/Prices!F1040)-1</f>
        <v>1.2998056365403299E-2</v>
      </c>
      <c r="G219">
        <f t="shared" si="12"/>
        <v>1.4286607814863218E-2</v>
      </c>
      <c r="H219" s="8">
        <f t="shared" si="15"/>
        <v>949316.94295214966</v>
      </c>
      <c r="I219" s="8">
        <f t="shared" si="13"/>
        <v>1038287.0197319461</v>
      </c>
      <c r="J219" s="13">
        <f t="shared" si="14"/>
        <v>-8.568928927067368E-2</v>
      </c>
    </row>
    <row r="220" spans="1:10" x14ac:dyDescent="0.25">
      <c r="A220" s="5">
        <v>44775</v>
      </c>
      <c r="B220">
        <f>(Prices!B1040/Prices!B1039)-1</f>
        <v>-2.2799017888460726E-3</v>
      </c>
      <c r="C220">
        <f>(Prices!C1040/Prices!C1039)-1</f>
        <v>1.1605124340618111E-2</v>
      </c>
      <c r="D220">
        <f>(Prices!D1040/Prices!D1039)-1</f>
        <v>4.405286343612369E-3</v>
      </c>
      <c r="E220">
        <f>(Prices!E1040/Prices!E1039)-1</f>
        <v>1.5876127009015972E-2</v>
      </c>
      <c r="F220">
        <f>(Prices!F1040/Prices!F1039)-1</f>
        <v>-1.6194331983798715E-4</v>
      </c>
      <c r="G220">
        <f t="shared" si="12"/>
        <v>5.8889385169124796E-3</v>
      </c>
      <c r="H220" s="8">
        <f t="shared" si="15"/>
        <v>954907.41206225823</v>
      </c>
      <c r="I220" s="8">
        <f t="shared" si="13"/>
        <v>1038287.0197319461</v>
      </c>
      <c r="J220" s="13">
        <f t="shared" si="14"/>
        <v>-8.0304969709834084E-2</v>
      </c>
    </row>
    <row r="221" spans="1:10" x14ac:dyDescent="0.25">
      <c r="A221" s="6">
        <v>44776</v>
      </c>
      <c r="B221">
        <f>(Prices!B1039/Prices!B1038)-1</f>
        <v>-2.5049157903735964E-2</v>
      </c>
      <c r="C221">
        <f>(Prices!C1039/Prices!C1038)-1</f>
        <v>-2.7090435866417573E-2</v>
      </c>
      <c r="D221">
        <f>(Prices!D1039/Prices!D1038)-1</f>
        <v>3.3514607309978572E-2</v>
      </c>
      <c r="E221">
        <f>(Prices!E1039/Prices!E1038)-1</f>
        <v>-1.0377266996411505E-2</v>
      </c>
      <c r="F221">
        <f>(Prices!F1039/Prices!F1038)-1</f>
        <v>-9.6032398404138908E-3</v>
      </c>
      <c r="G221">
        <f t="shared" si="12"/>
        <v>-7.7210986594000719E-3</v>
      </c>
      <c r="H221" s="8">
        <f t="shared" si="15"/>
        <v>947534.47772313317</v>
      </c>
      <c r="I221" s="8">
        <f t="shared" si="13"/>
        <v>1038287.0197319461</v>
      </c>
      <c r="J221" s="13">
        <f t="shared" si="14"/>
        <v>-8.7406025775264351E-2</v>
      </c>
    </row>
    <row r="222" spans="1:10" x14ac:dyDescent="0.25">
      <c r="A222" s="5">
        <v>44777</v>
      </c>
      <c r="B222">
        <f>(Prices!B1038/Prices!B1037)-1</f>
        <v>-9.3952852750256444E-4</v>
      </c>
      <c r="C222">
        <f>(Prices!C1038/Prices!C1037)-1</f>
        <v>-4.1616471361296536E-3</v>
      </c>
      <c r="D222">
        <f>(Prices!D1038/Prices!D1037)-1</f>
        <v>4.3828382838283719E-2</v>
      </c>
      <c r="E222">
        <f>(Prices!E1038/Prices!E1037)-1</f>
        <v>1.1080604040007769E-2</v>
      </c>
      <c r="F222">
        <f>(Prices!F1038/Prices!F1037)-1</f>
        <v>1.2936111449575627E-2</v>
      </c>
      <c r="G222">
        <f t="shared" si="12"/>
        <v>1.254878453284698E-2</v>
      </c>
      <c r="H222" s="8">
        <f t="shared" si="15"/>
        <v>959424.88372152438</v>
      </c>
      <c r="I222" s="8">
        <f t="shared" si="13"/>
        <v>1038287.0197319461</v>
      </c>
      <c r="J222" s="13">
        <f t="shared" si="14"/>
        <v>-7.595408062674372E-2</v>
      </c>
    </row>
    <row r="223" spans="1:10" x14ac:dyDescent="0.25">
      <c r="A223" s="6">
        <v>44778</v>
      </c>
      <c r="B223">
        <f>(Prices!B1037/Prices!B1036)-1</f>
        <v>6.1876933654176902E-3</v>
      </c>
      <c r="C223">
        <f>(Prices!C1037/Prices!C1036)-1</f>
        <v>2.6353354562425046E-3</v>
      </c>
      <c r="D223">
        <f>(Prices!D1037/Prices!D1036)-1</f>
        <v>-1.4185320145757463E-2</v>
      </c>
      <c r="E223">
        <f>(Prices!E1037/Prices!E1036)-1</f>
        <v>-2.9408965451603541E-2</v>
      </c>
      <c r="F223">
        <f>(Prices!F1037/Prices!F1036)-1</f>
        <v>-2.4512286530397054E-3</v>
      </c>
      <c r="G223">
        <f t="shared" si="12"/>
        <v>-7.4444970857481035E-3</v>
      </c>
      <c r="H223" s="8">
        <f t="shared" si="15"/>
        <v>952282.44797066529</v>
      </c>
      <c r="I223" s="8">
        <f t="shared" si="13"/>
        <v>1038287.0197319461</v>
      </c>
      <c r="J223" s="13">
        <f t="shared" si="14"/>
        <v>-8.2833137780615337E-2</v>
      </c>
    </row>
    <row r="224" spans="1:10" x14ac:dyDescent="0.25">
      <c r="A224" s="5">
        <v>44781</v>
      </c>
      <c r="B224">
        <f>(Prices!B1036/Prices!B1035)-1</f>
        <v>1.4631207504949284E-3</v>
      </c>
      <c r="C224">
        <f>(Prices!C1036/Prices!C1035)-1</f>
        <v>9.2349746961692958E-3</v>
      </c>
      <c r="D224">
        <f>(Prices!D1036/Prices!D1035)-1</f>
        <v>-5.5649022906689716E-3</v>
      </c>
      <c r="E224">
        <f>(Prices!E1036/Prices!E1035)-1</f>
        <v>1.2332594662298746E-2</v>
      </c>
      <c r="F224">
        <f>(Prices!F1036/Prices!F1035)-1</f>
        <v>-2.8683971316029178E-3</v>
      </c>
      <c r="G224">
        <f t="shared" si="12"/>
        <v>2.9194781373382164E-3</v>
      </c>
      <c r="H224" s="8">
        <f t="shared" si="15"/>
        <v>955062.61575808667</v>
      </c>
      <c r="I224" s="8">
        <f t="shared" si="13"/>
        <v>1038287.0197319461</v>
      </c>
      <c r="J224" s="13">
        <f t="shared" si="14"/>
        <v>-8.0155489178074649E-2</v>
      </c>
    </row>
    <row r="225" spans="1:10" x14ac:dyDescent="0.25">
      <c r="A225" s="6">
        <v>44782</v>
      </c>
      <c r="B225">
        <f>(Prices!B1035/Prices!B1034)-1</f>
        <v>5.7128018696441796E-3</v>
      </c>
      <c r="C225">
        <f>(Prices!C1035/Prices!C1034)-1</f>
        <v>-7.0060890616976401E-3</v>
      </c>
      <c r="D225">
        <f>(Prices!D1035/Prices!D1034)-1</f>
        <v>-1.8170266836086468E-2</v>
      </c>
      <c r="E225">
        <f>(Prices!E1035/Prices!E1034)-1</f>
        <v>-8.8808250572955938E-3</v>
      </c>
      <c r="F225">
        <f>(Prices!F1035/Prices!F1034)-1</f>
        <v>-1.2306823225598507E-3</v>
      </c>
      <c r="G225">
        <f t="shared" si="12"/>
        <v>-5.9150122815990747E-3</v>
      </c>
      <c r="H225" s="8">
        <f t="shared" si="15"/>
        <v>949413.40865618142</v>
      </c>
      <c r="I225" s="8">
        <f t="shared" si="13"/>
        <v>1038287.0197319461</v>
      </c>
      <c r="J225" s="13">
        <f t="shared" si="14"/>
        <v>-8.5596380756747859E-2</v>
      </c>
    </row>
    <row r="226" spans="1:10" x14ac:dyDescent="0.25">
      <c r="A226" s="5">
        <v>44783</v>
      </c>
      <c r="B226">
        <f>(Prices!B1034/Prices!B1033)-1</f>
        <v>-2.5638863118832678E-2</v>
      </c>
      <c r="C226">
        <f>(Prices!C1034/Prices!C1033)-1</f>
        <v>-2.3742166517457419E-2</v>
      </c>
      <c r="D226">
        <f>(Prices!D1034/Prices!D1033)-1</f>
        <v>-9.4398993077406956E-3</v>
      </c>
      <c r="E226">
        <f>(Prices!E1034/Prices!E1033)-1</f>
        <v>-2.540716612377858E-2</v>
      </c>
      <c r="F226">
        <f>(Prices!F1034/Prices!F1033)-1</f>
        <v>-8.4663763909043066E-4</v>
      </c>
      <c r="G226">
        <f t="shared" si="12"/>
        <v>-1.7014946541379961E-2</v>
      </c>
      <c r="H226" s="8">
        <f t="shared" si="15"/>
        <v>933259.1902622272</v>
      </c>
      <c r="I226" s="8">
        <f t="shared" si="13"/>
        <v>1038287.0197319461</v>
      </c>
      <c r="J226" s="13">
        <f t="shared" si="14"/>
        <v>-0.10115490945541612</v>
      </c>
    </row>
    <row r="227" spans="1:10" x14ac:dyDescent="0.25">
      <c r="A227" s="6">
        <v>44784</v>
      </c>
      <c r="B227">
        <f>(Prices!B1033/Prices!B1032)-1</f>
        <v>7.2205232755691018E-3</v>
      </c>
      <c r="C227">
        <f>(Prices!C1033/Prices!C1032)-1</f>
        <v>7.468071289414846E-3</v>
      </c>
      <c r="D227">
        <f>(Prices!D1033/Prices!D1032)-1</f>
        <v>-2.8015659407878535E-2</v>
      </c>
      <c r="E227">
        <f>(Prices!E1033/Prices!E1032)-1</f>
        <v>-1.4581804842259793E-2</v>
      </c>
      <c r="F227">
        <f>(Prices!F1033/Prices!F1032)-1</f>
        <v>9.1131000813668983E-3</v>
      </c>
      <c r="G227">
        <f t="shared" si="12"/>
        <v>-3.7591539207574966E-3</v>
      </c>
      <c r="H227" s="8">
        <f t="shared" si="15"/>
        <v>929750.92531806999</v>
      </c>
      <c r="I227" s="8">
        <f t="shared" si="13"/>
        <v>1038287.0197319461</v>
      </c>
      <c r="J227" s="13">
        <f t="shared" si="14"/>
        <v>-0.10453380650169042</v>
      </c>
    </row>
    <row r="228" spans="1:10" x14ac:dyDescent="0.25">
      <c r="A228" s="5">
        <v>44785</v>
      </c>
      <c r="B228">
        <f>(Prices!B1032/Prices!B1031)-1</f>
        <v>-2.3313697834564051E-2</v>
      </c>
      <c r="C228">
        <f>(Prices!C1032/Prices!C1031)-1</f>
        <v>-1.6743526073075499E-2</v>
      </c>
      <c r="D228">
        <f>(Prices!D1032/Prices!D1031)-1</f>
        <v>-8.731506184816884E-3</v>
      </c>
      <c r="E228">
        <f>(Prices!E1032/Prices!E1031)-1</f>
        <v>-1.6328371673432485E-2</v>
      </c>
      <c r="F228">
        <f>(Prices!F1032/Prices!F1031)-1</f>
        <v>-1.9936204146730474E-2</v>
      </c>
      <c r="G228">
        <f t="shared" si="12"/>
        <v>-1.7010661182523878E-2</v>
      </c>
      <c r="H228" s="8">
        <f t="shared" si="15"/>
        <v>913935.24734334624</v>
      </c>
      <c r="I228" s="8">
        <f t="shared" si="13"/>
        <v>1038287.0197319461</v>
      </c>
      <c r="J228" s="13">
        <f t="shared" si="14"/>
        <v>-0.11976627851969453</v>
      </c>
    </row>
    <row r="229" spans="1:10" x14ac:dyDescent="0.25">
      <c r="A229" s="6">
        <v>44788</v>
      </c>
      <c r="B229">
        <f>(Prices!B1031/Prices!B1030)-1</f>
        <v>-3.3076986686513266E-3</v>
      </c>
      <c r="C229">
        <f>(Prices!C1031/Prices!C1030)-1</f>
        <v>-5.3279700786847961E-3</v>
      </c>
      <c r="D229">
        <f>(Prices!D1031/Prices!D1030)-1</f>
        <v>1.8276117559891114E-2</v>
      </c>
      <c r="E229">
        <f>(Prices!E1031/Prices!E1030)-1</f>
        <v>-2.6990553306344145E-3</v>
      </c>
      <c r="F229">
        <f>(Prices!F1031/Prices!F1030)-1</f>
        <v>-1.731446653531532E-3</v>
      </c>
      <c r="G229">
        <f t="shared" si="12"/>
        <v>1.0419893656778089E-3</v>
      </c>
      <c r="H229" s="8">
        <f t="shared" si="15"/>
        <v>914887.55815199623</v>
      </c>
      <c r="I229" s="8">
        <f t="shared" si="13"/>
        <v>1038287.0197319461</v>
      </c>
      <c r="J229" s="13">
        <f t="shared" si="14"/>
        <v>-0.11884908434260094</v>
      </c>
    </row>
    <row r="230" spans="1:10" x14ac:dyDescent="0.25">
      <c r="A230" s="5">
        <v>44789</v>
      </c>
      <c r="B230">
        <f>(Prices!B1030/Prices!B1029)-1</f>
        <v>3.1522189962671643E-3</v>
      </c>
      <c r="C230">
        <f>(Prices!C1030/Prices!C1029)-1</f>
        <v>2.6178936569145606E-3</v>
      </c>
      <c r="D230">
        <f>(Prices!D1030/Prices!D1029)-1</f>
        <v>9.3481241430886097E-3</v>
      </c>
      <c r="E230">
        <f>(Prices!E1030/Prices!E1029)-1</f>
        <v>-9.4465733891808679E-3</v>
      </c>
      <c r="F230">
        <f>(Prices!F1030/Prices!F1029)-1</f>
        <v>-2.699323184407354E-3</v>
      </c>
      <c r="G230">
        <f t="shared" si="12"/>
        <v>5.9446804453642252E-4</v>
      </c>
      <c r="H230" s="8">
        <f t="shared" si="15"/>
        <v>915431.42956966162</v>
      </c>
      <c r="I230" s="8">
        <f t="shared" si="13"/>
        <v>1038287.0197319461</v>
      </c>
      <c r="J230" s="13">
        <f t="shared" si="14"/>
        <v>-0.11832526828082855</v>
      </c>
    </row>
    <row r="231" spans="1:10" x14ac:dyDescent="0.25">
      <c r="A231" s="6">
        <v>44790</v>
      </c>
      <c r="B231">
        <f>(Prices!B1029/Prices!B1028)-1</f>
        <v>1.798682654956929E-2</v>
      </c>
      <c r="C231">
        <f>(Prices!C1029/Prices!C1028)-1</f>
        <v>2.6247650125919009E-3</v>
      </c>
      <c r="D231">
        <f>(Prices!D1029/Prices!D1028)-1</f>
        <v>-8.036597428288772E-3</v>
      </c>
      <c r="E231">
        <f>(Prices!E1029/Prices!E1028)-1</f>
        <v>8.447919475150556E-3</v>
      </c>
      <c r="F231">
        <f>(Prices!F1029/Prices!F1028)-1</f>
        <v>2.0485282418456485E-3</v>
      </c>
      <c r="G231">
        <f t="shared" si="12"/>
        <v>4.6142883701737252E-3</v>
      </c>
      <c r="H231" s="8">
        <f t="shared" si="15"/>
        <v>919655.49416881637</v>
      </c>
      <c r="I231" s="8">
        <f t="shared" si="13"/>
        <v>1038287.0197319461</v>
      </c>
      <c r="J231" s="13">
        <f t="shared" si="14"/>
        <v>-0.11425696681998078</v>
      </c>
    </row>
    <row r="232" spans="1:10" x14ac:dyDescent="0.25">
      <c r="A232" s="5">
        <v>44791</v>
      </c>
      <c r="B232">
        <f>(Prices!B1028/Prices!B1027)-1</f>
        <v>-5.2083333333333703E-3</v>
      </c>
      <c r="C232">
        <f>(Prices!C1028/Prices!C1027)-1</f>
        <v>3.9527099209457628E-3</v>
      </c>
      <c r="D232">
        <f>(Prices!D1028/Prices!D1027)-1</f>
        <v>-2.3070419132745656E-2</v>
      </c>
      <c r="E232">
        <f>(Prices!E1028/Prices!E1027)-1</f>
        <v>7.8804347826086918E-3</v>
      </c>
      <c r="F232">
        <f>(Prices!F1028/Prices!F1027)-1</f>
        <v>-3.9761431411533543E-4</v>
      </c>
      <c r="G232">
        <f t="shared" si="12"/>
        <v>-3.3686444153279821E-3</v>
      </c>
      <c r="H232" s="8">
        <f t="shared" si="15"/>
        <v>916557.50182435883</v>
      </c>
      <c r="I232" s="8">
        <f t="shared" si="13"/>
        <v>1038287.0197319461</v>
      </c>
      <c r="J232" s="13">
        <f t="shared" si="14"/>
        <v>-0.11724072014211838</v>
      </c>
    </row>
    <row r="233" spans="1:10" x14ac:dyDescent="0.25">
      <c r="A233" s="6">
        <v>44792</v>
      </c>
      <c r="B233">
        <f>(Prices!B1027/Prices!B1026)-1</f>
        <v>2.5234691241064588E-2</v>
      </c>
      <c r="C233">
        <f>(Prices!C1027/Prices!C1026)-1</f>
        <v>1.4046871050445997E-2</v>
      </c>
      <c r="D233">
        <f>(Prices!D1027/Prices!D1026)-1</f>
        <v>3.1503695625834105E-3</v>
      </c>
      <c r="E233">
        <f>(Prices!E1027/Prices!E1026)-1</f>
        <v>2.5355252159375841E-2</v>
      </c>
      <c r="F233">
        <f>(Prices!F1027/Prices!F1026)-1</f>
        <v>-5.6537381884316229E-3</v>
      </c>
      <c r="G233">
        <f t="shared" si="12"/>
        <v>1.2426689165007642E-2</v>
      </c>
      <c r="H233" s="8">
        <f t="shared" si="15"/>
        <v>927947.27700138593</v>
      </c>
      <c r="I233" s="8">
        <f t="shared" si="13"/>
        <v>1038287.0197319461</v>
      </c>
      <c r="J233" s="13">
        <f t="shared" si="14"/>
        <v>-0.10627094496379862</v>
      </c>
    </row>
    <row r="234" spans="1:10" x14ac:dyDescent="0.25">
      <c r="A234" s="5">
        <v>44795</v>
      </c>
      <c r="B234">
        <f>(Prices!B1026/Prices!B1025)-1</f>
        <v>2.6069282431954832E-2</v>
      </c>
      <c r="C234">
        <f>(Prices!C1026/Prices!C1025)-1</f>
        <v>3.0245535714285676E-2</v>
      </c>
      <c r="D234">
        <f>(Prices!D1026/Prices!D1025)-1</f>
        <v>8.4889643463514908E-4</v>
      </c>
      <c r="E234">
        <f>(Prices!E1026/Prices!E1025)-1</f>
        <v>1.6809897062989965E-2</v>
      </c>
      <c r="F234">
        <f>(Prices!F1026/Prices!F1025)-1</f>
        <v>6.8869426751592133E-3</v>
      </c>
      <c r="G234">
        <f t="shared" si="12"/>
        <v>1.6172110863804968E-2</v>
      </c>
      <c r="H234" s="8">
        <f t="shared" si="15"/>
        <v>942954.14324081817</v>
      </c>
      <c r="I234" s="8">
        <f t="shared" si="13"/>
        <v>1038287.0197319461</v>
      </c>
      <c r="J234" s="13">
        <f t="shared" si="14"/>
        <v>-9.1817459603549617E-2</v>
      </c>
    </row>
    <row r="235" spans="1:10" x14ac:dyDescent="0.25">
      <c r="A235" s="6">
        <v>44796</v>
      </c>
      <c r="B235">
        <f>(Prices!B1025/Prices!B1024)-1</f>
        <v>3.2804326624700231E-3</v>
      </c>
      <c r="C235">
        <f>(Prices!C1025/Prices!C1024)-1</f>
        <v>4.7471311628604074E-3</v>
      </c>
      <c r="D235">
        <f>(Prices!D1025/Prices!D1024)-1</f>
        <v>-4.0716612377850181E-2</v>
      </c>
      <c r="E235">
        <f>(Prices!E1025/Prices!E1024)-1</f>
        <v>9.9189318073438226E-3</v>
      </c>
      <c r="F235">
        <f>(Prices!F1025/Prices!F1024)-1</f>
        <v>1.6366247901114628E-2</v>
      </c>
      <c r="G235">
        <f t="shared" si="12"/>
        <v>-1.2807737688122593E-3</v>
      </c>
      <c r="H235" s="8">
        <f t="shared" si="15"/>
        <v>941746.43230896245</v>
      </c>
      <c r="I235" s="8">
        <f t="shared" si="13"/>
        <v>1038287.0197319461</v>
      </c>
      <c r="J235" s="13">
        <f t="shared" si="14"/>
        <v>-9.2980635978582721E-2</v>
      </c>
    </row>
    <row r="236" spans="1:10" x14ac:dyDescent="0.25">
      <c r="A236" s="5">
        <v>44797</v>
      </c>
      <c r="B236">
        <f>(Prices!B1024/Prices!B1023)-1</f>
        <v>1.5095009767358558E-3</v>
      </c>
      <c r="C236">
        <f>(Prices!C1024/Prices!C1023)-1</f>
        <v>2.3604346197076964E-3</v>
      </c>
      <c r="D236">
        <f>(Prices!D1024/Prices!D1023)-1</f>
        <v>-5.8979993061177849E-3</v>
      </c>
      <c r="E236">
        <f>(Prices!E1024/Prices!E1023)-1</f>
        <v>-2.3786869647954845E-3</v>
      </c>
      <c r="F236">
        <f>(Prices!F1024/Prices!F1023)-1</f>
        <v>-1.2325224278671998E-3</v>
      </c>
      <c r="G236">
        <f t="shared" si="12"/>
        <v>-1.1278546204673834E-3</v>
      </c>
      <c r="H236" s="8">
        <f t="shared" si="15"/>
        <v>940684.27924397413</v>
      </c>
      <c r="I236" s="8">
        <f t="shared" si="13"/>
        <v>1038287.0197319461</v>
      </c>
      <c r="J236" s="13">
        <f t="shared" si="14"/>
        <v>-9.4003621959147646E-2</v>
      </c>
    </row>
    <row r="237" spans="1:10" x14ac:dyDescent="0.25">
      <c r="A237" s="6">
        <v>44798</v>
      </c>
      <c r="B237">
        <f>(Prices!B1023/Prices!B1022)-1</f>
        <v>-2.5356988316745932E-2</v>
      </c>
      <c r="C237">
        <f>(Prices!C1023/Prices!C1022)-1</f>
        <v>-1.0968650411324554E-2</v>
      </c>
      <c r="D237">
        <f>(Prices!D1023/Prices!D1022)-1</f>
        <v>-5.1771744132536046E-3</v>
      </c>
      <c r="E237">
        <f>(Prices!E1023/Prices!E1022)-1</f>
        <v>-2.3234200743494471E-2</v>
      </c>
      <c r="F237">
        <f>(Prices!F1023/Prices!F1022)-1</f>
        <v>-9.4269759622119809E-3</v>
      </c>
      <c r="G237">
        <f t="shared" si="12"/>
        <v>-1.4832797969406111E-2</v>
      </c>
      <c r="H237" s="8">
        <f t="shared" si="15"/>
        <v>926731.29937695188</v>
      </c>
      <c r="I237" s="8">
        <f t="shared" si="13"/>
        <v>1038287.0197319461</v>
      </c>
      <c r="J237" s="13">
        <f t="shared" si="14"/>
        <v>-0.10744208319564127</v>
      </c>
    </row>
    <row r="238" spans="1:10" x14ac:dyDescent="0.25">
      <c r="A238" s="5">
        <v>44799</v>
      </c>
      <c r="B238">
        <f>(Prices!B1022/Prices!B1021)-1</f>
        <v>5.7182067703568151E-2</v>
      </c>
      <c r="C238">
        <f>(Prices!C1022/Prices!C1021)-1</f>
        <v>4.0123337830025196E-2</v>
      </c>
      <c r="D238">
        <f>(Prices!D1022/Prices!D1021)-1</f>
        <v>1.2463599301106632E-2</v>
      </c>
      <c r="E238">
        <f>(Prices!E1022/Prices!E1021)-1</f>
        <v>3.3820138355111329E-2</v>
      </c>
      <c r="F238">
        <f>(Prices!F1022/Prices!F1021)-1</f>
        <v>2.3265816044401699E-2</v>
      </c>
      <c r="G238">
        <f t="shared" si="12"/>
        <v>3.3370991846842599E-2</v>
      </c>
      <c r="H238" s="8">
        <f t="shared" si="15"/>
        <v>957657.24201267399</v>
      </c>
      <c r="I238" s="8">
        <f t="shared" si="13"/>
        <v>1038287.0197319461</v>
      </c>
      <c r="J238" s="13">
        <f t="shared" si="14"/>
        <v>-7.7656540231128196E-2</v>
      </c>
    </row>
    <row r="239" spans="1:10" x14ac:dyDescent="0.25">
      <c r="A239" s="6">
        <v>44802</v>
      </c>
      <c r="B239">
        <f>(Prices!B1021/Prices!B1020)-1</f>
        <v>8.3956084509639872E-3</v>
      </c>
      <c r="C239">
        <f>(Prices!C1021/Prices!C1020)-1</f>
        <v>1.079164718715897E-2</v>
      </c>
      <c r="D239">
        <f>(Prices!D1021/Prices!D1020)-1</f>
        <v>-2.2432247779549108E-2</v>
      </c>
      <c r="E239">
        <f>(Prices!E1021/Prices!E1020)-1</f>
        <v>2.5043344249664479E-3</v>
      </c>
      <c r="F239">
        <f>(Prices!F1021/Prices!F1020)-1</f>
        <v>-9.8209718670083657E-4</v>
      </c>
      <c r="G239">
        <f t="shared" si="12"/>
        <v>-3.4455098063210796E-4</v>
      </c>
      <c r="H239" s="8">
        <f t="shared" si="15"/>
        <v>957327.2802708291</v>
      </c>
      <c r="I239" s="8">
        <f t="shared" si="13"/>
        <v>1038287.0197319461</v>
      </c>
      <c r="J239" s="13">
        <f t="shared" si="14"/>
        <v>-7.7974334574671164E-2</v>
      </c>
    </row>
    <row r="240" spans="1:10" x14ac:dyDescent="0.25">
      <c r="A240" s="5">
        <v>44803</v>
      </c>
      <c r="B240">
        <f>(Prices!B1020/Prices!B1019)-1</f>
        <v>4.4481512371421505E-3</v>
      </c>
      <c r="C240">
        <f>(Prices!C1020/Prices!C1019)-1</f>
        <v>8.6054461864906173E-3</v>
      </c>
      <c r="D240">
        <f>(Prices!D1020/Prices!D1019)-1</f>
        <v>3.953598484848464E-2</v>
      </c>
      <c r="E240">
        <f>(Prices!E1020/Prices!E1019)-1</f>
        <v>-1.9260400616338824E-4</v>
      </c>
      <c r="F240">
        <f>(Prices!F1020/Prices!F1019)-1</f>
        <v>1.3268373587643767E-2</v>
      </c>
      <c r="G240">
        <f t="shared" si="12"/>
        <v>1.3133070370719558E-2</v>
      </c>
      <c r="H240" s="8">
        <f t="shared" si="15"/>
        <v>969899.92681043549</v>
      </c>
      <c r="I240" s="8">
        <f t="shared" si="13"/>
        <v>1038287.0197319461</v>
      </c>
      <c r="J240" s="13">
        <f t="shared" si="14"/>
        <v>-6.5865306627030773E-2</v>
      </c>
    </row>
    <row r="241" spans="1:10" x14ac:dyDescent="0.25">
      <c r="A241" s="6">
        <v>44804</v>
      </c>
      <c r="B241">
        <f>(Prices!B1019/Prices!B1018)-1</f>
        <v>6.62313432835826E-3</v>
      </c>
      <c r="C241">
        <f>(Prices!C1019/Prices!C1018)-1</f>
        <v>5.7303193171041045E-3</v>
      </c>
      <c r="D241">
        <f>(Prices!D1019/Prices!D1018)-1</f>
        <v>7.5134168157424686E-3</v>
      </c>
      <c r="E241">
        <f>(Prices!E1019/Prices!E1018)-1</f>
        <v>6.0065878705677367E-3</v>
      </c>
      <c r="F241">
        <f>(Prices!F1019/Prices!F1018)-1</f>
        <v>6.7415261312406827E-3</v>
      </c>
      <c r="G241">
        <f t="shared" si="12"/>
        <v>6.5229968926026503E-3</v>
      </c>
      <c r="H241" s="8">
        <f t="shared" si="15"/>
        <v>976226.58101915545</v>
      </c>
      <c r="I241" s="8">
        <f t="shared" si="13"/>
        <v>1038287.0197319461</v>
      </c>
      <c r="J241" s="13">
        <f t="shared" si="14"/>
        <v>-5.9771948924886603E-2</v>
      </c>
    </row>
    <row r="242" spans="1:10" x14ac:dyDescent="0.25">
      <c r="A242" s="5">
        <v>44805</v>
      </c>
      <c r="B242">
        <f>(Prices!B1018/Prices!B1017)-1</f>
        <v>-1.3890166498022216E-2</v>
      </c>
      <c r="C242">
        <f>(Prices!C1018/Prices!C1017)-1</f>
        <v>4.0871393992301108E-3</v>
      </c>
      <c r="D242">
        <f>(Prices!D1018/Prices!D1017)-1</f>
        <v>1.8338596065095913E-2</v>
      </c>
      <c r="E242">
        <f>(Prices!E1018/Prices!E1017)-1</f>
        <v>-6.8315212162033401E-3</v>
      </c>
      <c r="F242">
        <f>(Prices!F1018/Prices!F1017)-1</f>
        <v>-8.8949567663729745E-3</v>
      </c>
      <c r="G242">
        <f t="shared" si="12"/>
        <v>-1.4381818032545013E-3</v>
      </c>
      <c r="H242" s="8">
        <f t="shared" si="15"/>
        <v>974822.58971448033</v>
      </c>
      <c r="I242" s="8">
        <f t="shared" si="13"/>
        <v>1038287.0197319461</v>
      </c>
      <c r="J242" s="13">
        <f t="shared" si="14"/>
        <v>-6.1124167798852283E-2</v>
      </c>
    </row>
    <row r="243" spans="1:10" x14ac:dyDescent="0.25">
      <c r="A243" s="6">
        <v>44806</v>
      </c>
      <c r="B243">
        <f>(Prices!B1017/Prices!B1016)-1</f>
        <v>1.7598052981372181E-2</v>
      </c>
      <c r="C243">
        <f>(Prices!C1017/Prices!C1016)-1</f>
        <v>1.6948468584802923E-2</v>
      </c>
      <c r="D243">
        <f>(Prices!D1017/Prices!D1016)-1</f>
        <v>-1.8008348240906247E-2</v>
      </c>
      <c r="E243">
        <f>(Prices!E1017/Prices!E1016)-1</f>
        <v>6.9760682104449412E-3</v>
      </c>
      <c r="F243">
        <f>(Prices!F1017/Prices!F1016)-1</f>
        <v>1.4799420618426984E-2</v>
      </c>
      <c r="G243">
        <f t="shared" si="12"/>
        <v>7.6627324308281564E-3</v>
      </c>
      <c r="H243" s="8">
        <f t="shared" si="15"/>
        <v>982292.39438698953</v>
      </c>
      <c r="I243" s="8">
        <f t="shared" si="13"/>
        <v>1038287.0197319461</v>
      </c>
      <c r="J243" s="13">
        <f t="shared" si="14"/>
        <v>-5.3929813510923623E-2</v>
      </c>
    </row>
    <row r="244" spans="1:10" x14ac:dyDescent="0.25">
      <c r="A244" s="5">
        <v>44810</v>
      </c>
      <c r="B244">
        <f>(Prices!B1016/Prices!B1015)-1</f>
        <v>9.7353497164460734E-3</v>
      </c>
      <c r="C244">
        <f>(Prices!C1016/Prices!C1015)-1</f>
        <v>1.1097964013219608E-2</v>
      </c>
      <c r="D244">
        <f>(Prices!D1016/Prices!D1015)-1</f>
        <v>6.7234962180331426E-3</v>
      </c>
      <c r="E244">
        <f>(Prices!E1016/Prices!E1015)-1</f>
        <v>-1.9374212922607104E-4</v>
      </c>
      <c r="F244">
        <f>(Prices!F1016/Prices!F1015)-1</f>
        <v>-2.554492346992121E-3</v>
      </c>
      <c r="G244">
        <f t="shared" si="12"/>
        <v>4.9617150942961267E-3</v>
      </c>
      <c r="H244" s="8">
        <f t="shared" si="15"/>
        <v>987166.24938723177</v>
      </c>
      <c r="I244" s="8">
        <f t="shared" si="13"/>
        <v>1038287.0197319461</v>
      </c>
      <c r="J244" s="13">
        <f t="shared" si="14"/>
        <v>-4.9235682786357191E-2</v>
      </c>
    </row>
    <row r="245" spans="1:10" x14ac:dyDescent="0.25">
      <c r="A245" s="6">
        <v>44811</v>
      </c>
      <c r="B245">
        <f>(Prices!B1015/Prices!B1014)-1</f>
        <v>-2.4165283158088968E-2</v>
      </c>
      <c r="C245">
        <f>(Prices!C1015/Prices!C1014)-1</f>
        <v>-1.8737238259198485E-2</v>
      </c>
      <c r="D245">
        <f>(Prices!D1015/Prices!D1014)-1</f>
        <v>8.5977234197143204E-3</v>
      </c>
      <c r="E245">
        <f>(Prices!E1015/Prices!E1014)-1</f>
        <v>-1.8632949900180606E-2</v>
      </c>
      <c r="F245">
        <f>(Prices!F1015/Prices!F1014)-1</f>
        <v>-7.6670545212765839E-3</v>
      </c>
      <c r="G245">
        <f t="shared" si="12"/>
        <v>-1.2120960483806066E-2</v>
      </c>
      <c r="H245" s="8">
        <f t="shared" si="15"/>
        <v>975200.84628746205</v>
      </c>
      <c r="I245" s="8">
        <f t="shared" si="13"/>
        <v>1038287.0197319461</v>
      </c>
      <c r="J245" s="13">
        <f t="shared" si="14"/>
        <v>-6.0759859504716657E-2</v>
      </c>
    </row>
    <row r="246" spans="1:10" x14ac:dyDescent="0.25">
      <c r="A246" s="5">
        <v>44812</v>
      </c>
      <c r="B246">
        <f>(Prices!B1014/Prices!B1013)-1</f>
        <v>9.8733233979135804E-3</v>
      </c>
      <c r="C246">
        <f>(Prices!C1014/Prices!C1013)-1</f>
        <v>-1.6787241696309962E-3</v>
      </c>
      <c r="D246">
        <f>(Prices!D1014/Prices!D1013)-1</f>
        <v>-8.0480480480480399E-3</v>
      </c>
      <c r="E246">
        <f>(Prices!E1014/Prices!E1013)-1</f>
        <v>-2.2761055369751038E-2</v>
      </c>
      <c r="F246">
        <f>(Prices!F1014/Prices!F1013)-1</f>
        <v>-1.105494595816392E-2</v>
      </c>
      <c r="G246">
        <f t="shared" si="12"/>
        <v>-6.733890029536083E-3</v>
      </c>
      <c r="H246" s="8">
        <f t="shared" si="15"/>
        <v>968633.95103185182</v>
      </c>
      <c r="I246" s="8">
        <f t="shared" si="13"/>
        <v>1038287.0197319461</v>
      </c>
      <c r="J246" s="13">
        <f t="shared" si="14"/>
        <v>-6.7084599322137853E-2</v>
      </c>
    </row>
    <row r="247" spans="1:10" x14ac:dyDescent="0.25">
      <c r="A247" s="6">
        <v>44813</v>
      </c>
      <c r="B247">
        <f>(Prices!B1013/Prices!B1012)-1</f>
        <v>-2.052732414925651E-2</v>
      </c>
      <c r="C247">
        <f>(Prices!C1013/Prices!C1012)-1</f>
        <v>-2.2466203016331954E-2</v>
      </c>
      <c r="D247">
        <f>(Prices!D1013/Prices!D1012)-1</f>
        <v>-1.6538688718251704E-2</v>
      </c>
      <c r="E247">
        <f>(Prices!E1013/Prices!E1012)-1</f>
        <v>-4.8076923076922906E-3</v>
      </c>
      <c r="F247">
        <f>(Prices!F1013/Prices!F1012)-1</f>
        <v>2.885051312698339E-3</v>
      </c>
      <c r="G247">
        <f t="shared" si="12"/>
        <v>-1.2290971375766823E-2</v>
      </c>
      <c r="H247" s="8">
        <f t="shared" si="15"/>
        <v>956728.49886612338</v>
      </c>
      <c r="I247" s="8">
        <f t="shared" si="13"/>
        <v>1038287.0197319461</v>
      </c>
      <c r="J247" s="13">
        <f t="shared" si="14"/>
        <v>-7.8551035807881517E-2</v>
      </c>
    </row>
    <row r="248" spans="1:10" x14ac:dyDescent="0.25">
      <c r="A248" s="5">
        <v>44816</v>
      </c>
      <c r="B248">
        <f>(Prices!B1012/Prices!B1011)-1</f>
        <v>-1.9122199963576003E-3</v>
      </c>
      <c r="C248">
        <f>(Prices!C1012/Prices!C1011)-1</f>
        <v>-8.1767099399341348E-3</v>
      </c>
      <c r="D248">
        <f>(Prices!D1012/Prices!D1011)-1</f>
        <v>-1.1329128708245761E-2</v>
      </c>
      <c r="E248">
        <f>(Prices!E1012/Prices!E1011)-1</f>
        <v>-1.1695906432748537E-2</v>
      </c>
      <c r="F248">
        <f>(Prices!F1012/Prices!F1011)-1</f>
        <v>-1.2997050747482919E-2</v>
      </c>
      <c r="G248">
        <f t="shared" si="12"/>
        <v>-9.2222031649537919E-3</v>
      </c>
      <c r="H248" s="8">
        <f t="shared" si="15"/>
        <v>947905.35427587875</v>
      </c>
      <c r="I248" s="8">
        <f t="shared" si="13"/>
        <v>1038287.0197319461</v>
      </c>
      <c r="J248" s="13">
        <f t="shared" si="14"/>
        <v>-8.7048825361797436E-2</v>
      </c>
    </row>
    <row r="249" spans="1:10" x14ac:dyDescent="0.25">
      <c r="A249" s="6">
        <v>44817</v>
      </c>
      <c r="B249">
        <f>(Prices!B1011/Prices!B1010)-1</f>
        <v>6.270563189471634E-2</v>
      </c>
      <c r="C249">
        <f>(Prices!C1011/Prices!C1010)-1</f>
        <v>5.8145733382539921E-2</v>
      </c>
      <c r="D249">
        <f>(Prices!D1011/Prices!D1010)-1</f>
        <v>2.391772303276718E-2</v>
      </c>
      <c r="E249">
        <f>(Prices!E1011/Prices!E1010)-1</f>
        <v>3.5971223021582732E-2</v>
      </c>
      <c r="F249">
        <f>(Prices!F1011/Prices!F1010)-1</f>
        <v>3.3638179333543627E-2</v>
      </c>
      <c r="G249">
        <f t="shared" si="12"/>
        <v>4.2875698133029966E-2</v>
      </c>
      <c r="H249" s="8">
        <f t="shared" si="15"/>
        <v>988547.45810449426</v>
      </c>
      <c r="I249" s="8">
        <f t="shared" si="13"/>
        <v>1038287.0197319461</v>
      </c>
      <c r="J249" s="13">
        <f t="shared" si="14"/>
        <v>-4.7905406387814639E-2</v>
      </c>
    </row>
    <row r="250" spans="1:10" x14ac:dyDescent="0.25">
      <c r="A250" s="5">
        <v>44818</v>
      </c>
      <c r="B250">
        <f>(Prices!B1010/Prices!B1009)-1</f>
        <v>-6.4416882992019975E-3</v>
      </c>
      <c r="C250">
        <f>(Prices!C1010/Prices!C1009)-1</f>
        <v>-9.0130689499778871E-4</v>
      </c>
      <c r="D250">
        <f>(Prices!D1010/Prices!D1009)-1</f>
        <v>-2.3929029998832729E-2</v>
      </c>
      <c r="E250">
        <f>(Prices!E1010/Prices!E1009)-1</f>
        <v>2.3721415694089032E-3</v>
      </c>
      <c r="F250">
        <f>(Prices!F1010/Prices!F1009)-1</f>
        <v>8.2243466095766049E-3</v>
      </c>
      <c r="G250">
        <f t="shared" si="12"/>
        <v>-4.135107402809402E-3</v>
      </c>
      <c r="H250" s="8">
        <f t="shared" si="15"/>
        <v>984459.70819245791</v>
      </c>
      <c r="I250" s="8">
        <f t="shared" si="13"/>
        <v>1038287.0197319461</v>
      </c>
      <c r="J250" s="13">
        <f t="shared" si="14"/>
        <v>-5.1842419790035239E-2</v>
      </c>
    </row>
    <row r="251" spans="1:10" x14ac:dyDescent="0.25">
      <c r="A251" s="6">
        <v>44819</v>
      </c>
      <c r="B251">
        <f>(Prices!B1009/Prices!B1008)-1</f>
        <v>2.0306062389640944E-2</v>
      </c>
      <c r="C251">
        <f>(Prices!C1009/Prices!C1008)-1</f>
        <v>2.7877205541752659E-2</v>
      </c>
      <c r="D251">
        <f>(Prices!D1009/Prices!D1008)-1</f>
        <v>2.9935080548208592E-2</v>
      </c>
      <c r="E251">
        <f>(Prices!E1009/Prices!E1008)-1</f>
        <v>-1.4862591138530612E-2</v>
      </c>
      <c r="F251">
        <f>(Prices!F1009/Prices!F1008)-1</f>
        <v>-2.5127601099332653E-2</v>
      </c>
      <c r="G251">
        <f t="shared" si="12"/>
        <v>7.6256312483477867E-3</v>
      </c>
      <c r="H251" s="8">
        <f t="shared" si="15"/>
        <v>991966.8349059897</v>
      </c>
      <c r="I251" s="8">
        <f t="shared" si="13"/>
        <v>1038287.0197319461</v>
      </c>
      <c r="J251" s="13">
        <f t="shared" si="14"/>
        <v>-4.4612119718028267E-2</v>
      </c>
    </row>
    <row r="252" spans="1:10" x14ac:dyDescent="0.25">
      <c r="A252" s="5">
        <v>44820</v>
      </c>
      <c r="B252">
        <f>(Prices!B1008/Prices!B1007)-1</f>
        <v>1.0802317588136656E-3</v>
      </c>
      <c r="C252">
        <f>(Prices!C1008/Prices!C1007)-1</f>
        <v>2.6176905214270185E-3</v>
      </c>
      <c r="D252">
        <f>(Prices!D1008/Prices!D1007)-1</f>
        <v>1.7367906066536154E-2</v>
      </c>
      <c r="E252">
        <f>(Prices!E1008/Prices!E1007)-1</f>
        <v>6.7758328627893771E-3</v>
      </c>
      <c r="F252">
        <f>(Prices!F1008/Prices!F1007)-1</f>
        <v>3.6293500352564401E-3</v>
      </c>
      <c r="G252">
        <f t="shared" si="12"/>
        <v>6.2942022489645318E-3</v>
      </c>
      <c r="H252" s="8">
        <f t="shared" si="15"/>
        <v>998210.4747891532</v>
      </c>
      <c r="I252" s="8">
        <f t="shared" si="13"/>
        <v>1038287.0197319461</v>
      </c>
      <c r="J252" s="13">
        <f t="shared" si="14"/>
        <v>-3.8598715173324034E-2</v>
      </c>
    </row>
    <row r="253" spans="1:10" x14ac:dyDescent="0.25">
      <c r="A253" s="6">
        <v>44823</v>
      </c>
      <c r="B253">
        <f>(Prices!B1007/Prices!B1006)-1</f>
        <v>-2.6444662095983507E-3</v>
      </c>
      <c r="C253">
        <f>(Prices!C1007/Prices!C1006)-1</f>
        <v>8.8742393509133599E-4</v>
      </c>
      <c r="D253">
        <f>(Prices!D1007/Prices!D1006)-1</f>
        <v>1.2232415902135862E-4</v>
      </c>
      <c r="E253">
        <f>(Prices!E1007/Prices!E1006)-1</f>
        <v>-9.1383812010442655E-3</v>
      </c>
      <c r="F253">
        <f>(Prices!F1007/Prices!F1006)-1</f>
        <v>-4.8500608837429571E-3</v>
      </c>
      <c r="G253">
        <f t="shared" si="12"/>
        <v>-3.124632040054576E-3</v>
      </c>
      <c r="H253" s="8">
        <f t="shared" si="15"/>
        <v>995091.43435690901</v>
      </c>
      <c r="I253" s="8">
        <f t="shared" si="13"/>
        <v>1038287.0197319461</v>
      </c>
      <c r="J253" s="13">
        <f t="shared" si="14"/>
        <v>-4.1602740431243013E-2</v>
      </c>
    </row>
    <row r="254" spans="1:10" x14ac:dyDescent="0.25">
      <c r="A254" s="5">
        <v>44824</v>
      </c>
      <c r="B254">
        <f>(Prices!B1006/Prices!B1005)-1</f>
        <v>1.9063778820241462E-2</v>
      </c>
      <c r="C254">
        <f>(Prices!C1006/Prices!C1005)-1</f>
        <v>8.5666794527554657E-3</v>
      </c>
      <c r="D254">
        <f>(Prices!D1006/Prices!D1005)-1</f>
        <v>8.1391046984831128E-3</v>
      </c>
      <c r="E254">
        <f>(Prices!E1006/Prices!E1005)-1</f>
        <v>2.0070389042138315E-2</v>
      </c>
      <c r="F254">
        <f>(Prices!F1006/Prices!F1005)-1</f>
        <v>1.4467891614822204E-3</v>
      </c>
      <c r="G254">
        <f t="shared" si="12"/>
        <v>1.1457348235020115E-2</v>
      </c>
      <c r="H254" s="8">
        <f t="shared" si="15"/>
        <v>1006492.5434460219</v>
      </c>
      <c r="I254" s="8">
        <f t="shared" si="13"/>
        <v>1038287.0197319461</v>
      </c>
      <c r="J254" s="13">
        <f t="shared" si="14"/>
        <v>-3.0622049280874728E-2</v>
      </c>
    </row>
    <row r="255" spans="1:10" x14ac:dyDescent="0.25">
      <c r="A255" s="6">
        <v>44825</v>
      </c>
      <c r="B255">
        <f>(Prices!B1005/Prices!B1004)-1</f>
        <v>1.8812283912954975E-2</v>
      </c>
      <c r="C255">
        <f>(Prices!C1005/Prices!C1004)-1</f>
        <v>1.4616216216216227E-2</v>
      </c>
      <c r="D255">
        <f>(Prices!D1005/Prices!D1004)-1</f>
        <v>1.6420155427425476E-2</v>
      </c>
      <c r="E255">
        <f>(Prices!E1005/Prices!E1004)-1</f>
        <v>2.9676787463271292E-2</v>
      </c>
      <c r="F255">
        <f>(Prices!F1005/Prices!F1004)-1</f>
        <v>2.0932244519001442E-2</v>
      </c>
      <c r="G255">
        <f t="shared" si="12"/>
        <v>2.0091537507773885E-2</v>
      </c>
      <c r="H255" s="8">
        <f t="shared" si="15"/>
        <v>1026714.5261339623</v>
      </c>
      <c r="I255" s="8">
        <f t="shared" si="13"/>
        <v>1038287.0197319461</v>
      </c>
      <c r="J255" s="13">
        <f t="shared" si="14"/>
        <v>-1.114575582479245E-2</v>
      </c>
    </row>
    <row r="256" spans="1:10" x14ac:dyDescent="0.25">
      <c r="A256" s="5">
        <v>44826</v>
      </c>
      <c r="B256">
        <f>(Prices!B1004/Prices!B1003)-1</f>
        <v>-8.6693548387096753E-3</v>
      </c>
      <c r="C256">
        <f>(Prices!C1004/Prices!C1003)-1</f>
        <v>-8.4044423480983399E-3</v>
      </c>
      <c r="D256">
        <f>(Prices!D1004/Prices!D1003)-1</f>
        <v>4.153555695405986E-3</v>
      </c>
      <c r="E256">
        <f>(Prices!E1004/Prices!E1003)-1</f>
        <v>1.1491975430949042E-2</v>
      </c>
      <c r="F256">
        <f>(Prices!F1004/Prices!F1003)-1</f>
        <v>-1.0399047798032912E-2</v>
      </c>
      <c r="G256">
        <f t="shared" si="12"/>
        <v>-2.3654627716971806E-3</v>
      </c>
      <c r="H256" s="8">
        <f t="shared" si="15"/>
        <v>1024285.8711452318</v>
      </c>
      <c r="I256" s="8">
        <f t="shared" si="13"/>
        <v>1038287.0197319461</v>
      </c>
      <c r="J256" s="13">
        <f t="shared" si="14"/>
        <v>-1.3484853726023618E-2</v>
      </c>
    </row>
    <row r="257" spans="1:10" x14ac:dyDescent="0.25">
      <c r="A257" s="6">
        <v>44827</v>
      </c>
      <c r="B257">
        <f>(Prices!B1003/Prices!B1002)-1</f>
        <v>1.4211225846028075E-2</v>
      </c>
      <c r="C257">
        <f>(Prices!C1003/Prices!C1002)-1</f>
        <v>1.2855591748099915E-2</v>
      </c>
      <c r="D257">
        <f>(Prices!D1003/Prices!D1002)-1</f>
        <v>5.6235043871310841E-2</v>
      </c>
      <c r="E257">
        <f>(Prices!E1003/Prices!E1002)-1</f>
        <v>1.8978396931152774E-2</v>
      </c>
      <c r="F257">
        <f>(Prices!F1003/Prices!F1002)-1</f>
        <v>7.4895335871920654E-3</v>
      </c>
      <c r="G257">
        <f t="shared" si="12"/>
        <v>2.1953958396756738E-2</v>
      </c>
      <c r="H257" s="8">
        <f t="shared" si="15"/>
        <v>1046773.0005467399</v>
      </c>
      <c r="I257" s="8">
        <f t="shared" si="13"/>
        <v>1046773.0005467399</v>
      </c>
      <c r="J257" s="13">
        <f t="shared" si="14"/>
        <v>0</v>
      </c>
    </row>
    <row r="258" spans="1:10" x14ac:dyDescent="0.25">
      <c r="A258" s="5">
        <v>44830</v>
      </c>
      <c r="B258">
        <f>(Prices!B1002/Prices!B1001)-1</f>
        <v>5.8617852735500797E-3</v>
      </c>
      <c r="C258">
        <f>(Prices!C1002/Prices!C1001)-1</f>
        <v>1.958224543080922E-3</v>
      </c>
      <c r="D258">
        <f>(Prices!D1002/Prices!D1001)-1</f>
        <v>2.1039771956020026E-2</v>
      </c>
      <c r="E258">
        <f>(Prices!E1002/Prices!E1001)-1</f>
        <v>2.1974620860414573E-2</v>
      </c>
      <c r="F258">
        <f>(Prices!F1002/Prices!F1001)-1</f>
        <v>1.0330095436478226E-2</v>
      </c>
      <c r="G258">
        <f t="shared" ref="G258:G321" si="16">B258*20%+C258*20%+D258*20%+E258*20%+F258*20%</f>
        <v>1.2232899613908766E-2</v>
      </c>
      <c r="H258" s="8">
        <f t="shared" si="15"/>
        <v>1059578.0695809782</v>
      </c>
      <c r="I258" s="8">
        <f t="shared" ref="I258:I321" si="17">MAX(I257,H258)</f>
        <v>1059578.0695809782</v>
      </c>
      <c r="J258" s="13">
        <f t="shared" ref="J258:J321" si="18">(H258-I258)/I258</f>
        <v>0</v>
      </c>
    </row>
    <row r="259" spans="1:10" x14ac:dyDescent="0.25">
      <c r="A259" s="6">
        <v>44831</v>
      </c>
      <c r="B259">
        <f>(Prices!B1001/Prices!B1000)-1</f>
        <v>6.8337129840545519E-3</v>
      </c>
      <c r="C259">
        <f>(Prices!C1001/Prices!C1000)-1</f>
        <v>4.4145286070196299E-3</v>
      </c>
      <c r="D259">
        <f>(Prices!D1001/Prices!D1000)-1</f>
        <v>-2.0476000531844063E-2</v>
      </c>
      <c r="E259">
        <f>(Prices!E1001/Prices!E1000)-1</f>
        <v>8.9518059748101564E-3</v>
      </c>
      <c r="F259">
        <f>(Prices!F1001/Prices!F1000)-1</f>
        <v>-2.1254888624366863E-5</v>
      </c>
      <c r="G259">
        <f t="shared" si="16"/>
        <v>-5.9441570916818042E-5</v>
      </c>
      <c r="H259" s="8">
        <f t="shared" si="15"/>
        <v>1059515.0865960133</v>
      </c>
      <c r="I259" s="8">
        <f t="shared" si="17"/>
        <v>1059578.0695809782</v>
      </c>
      <c r="J259" s="13">
        <f t="shared" si="18"/>
        <v>-5.9441570916880099E-5</v>
      </c>
    </row>
    <row r="260" spans="1:10" x14ac:dyDescent="0.25">
      <c r="A260" s="5">
        <v>44832</v>
      </c>
      <c r="B260">
        <f>(Prices!B1000/Prices!B999)-1</f>
        <v>-2.5527192008878985E-2</v>
      </c>
      <c r="C260">
        <f>(Prices!C1000/Prices!C999)-1</f>
        <v>-1.9331333047578281E-2</v>
      </c>
      <c r="D260">
        <f>(Prices!D1000/Prices!D999)-1</f>
        <v>-3.5150737652341335E-2</v>
      </c>
      <c r="E260">
        <f>(Prices!E1000/Prices!E999)-1</f>
        <v>-1.9793898581777492E-2</v>
      </c>
      <c r="F260">
        <f>(Prices!F1000/Prices!F999)-1</f>
        <v>-1.0827744254988114E-2</v>
      </c>
      <c r="G260">
        <f t="shared" si="16"/>
        <v>-2.2126181109112842E-2</v>
      </c>
      <c r="H260" s="8">
        <f t="shared" ref="H260:H323" si="19">H259*(1+G260)</f>
        <v>1036072.0639021526</v>
      </c>
      <c r="I260" s="8">
        <f t="shared" si="17"/>
        <v>1059578.0695809782</v>
      </c>
      <c r="J260" s="13">
        <f t="shared" si="18"/>
        <v>-2.2184307465066139E-2</v>
      </c>
    </row>
    <row r="261" spans="1:10" x14ac:dyDescent="0.25">
      <c r="A261" s="6">
        <v>44833</v>
      </c>
      <c r="B261">
        <f>(Prices!B999/Prices!B998)-1</f>
        <v>2.7046632124352321E-2</v>
      </c>
      <c r="C261">
        <f>(Prices!C999/Prices!C998)-1</f>
        <v>1.505395057431258E-2</v>
      </c>
      <c r="D261">
        <f>(Prices!D999/Prices!D998)-1</f>
        <v>2.0568196426276053E-3</v>
      </c>
      <c r="E261">
        <f>(Prices!E999/Prices!E998)-1</f>
        <v>1.7228853139595435E-2</v>
      </c>
      <c r="F261">
        <f>(Prices!F999/Prices!F998)-1</f>
        <v>1.0044595455510841E-2</v>
      </c>
      <c r="G261">
        <f t="shared" si="16"/>
        <v>1.4286170187279758E-2</v>
      </c>
      <c r="H261" s="8">
        <f t="shared" si="19"/>
        <v>1050873.565733345</v>
      </c>
      <c r="I261" s="8">
        <f t="shared" si="17"/>
        <v>1059578.0695809782</v>
      </c>
      <c r="J261" s="13">
        <f t="shared" si="18"/>
        <v>-8.2150660697191923E-3</v>
      </c>
    </row>
    <row r="262" spans="1:10" x14ac:dyDescent="0.25">
      <c r="A262" s="5">
        <v>44834</v>
      </c>
      <c r="B262">
        <f>(Prices!B998/Prices!B997)-1</f>
        <v>1.846965699208436E-2</v>
      </c>
      <c r="C262">
        <f>(Prices!C998/Prices!C997)-1</f>
        <v>1.9743555614712305E-2</v>
      </c>
      <c r="D262">
        <f>(Prices!D998/Prices!D997)-1</f>
        <v>1.5667841754798406E-2</v>
      </c>
      <c r="E262">
        <f>(Prices!E998/Prices!E997)-1</f>
        <v>1.5814443858724214E-2</v>
      </c>
      <c r="F262">
        <f>(Prices!F998/Prices!F997)-1</f>
        <v>7.5097883994095227E-3</v>
      </c>
      <c r="G262">
        <f t="shared" si="16"/>
        <v>1.5441057323945762E-2</v>
      </c>
      <c r="H262" s="8">
        <f t="shared" si="19"/>
        <v>1067100.1647020529</v>
      </c>
      <c r="I262" s="8">
        <f t="shared" si="17"/>
        <v>1067100.1647020529</v>
      </c>
      <c r="J262" s="13">
        <f t="shared" si="18"/>
        <v>0</v>
      </c>
    </row>
    <row r="263" spans="1:10" x14ac:dyDescent="0.25">
      <c r="A263" s="6">
        <v>44837</v>
      </c>
      <c r="B263">
        <f>(Prices!B997/Prices!B996)-1</f>
        <v>-3.0293726333026294E-2</v>
      </c>
      <c r="C263">
        <f>(Prices!C997/Prices!C996)-1</f>
        <v>-3.2577903682719511E-2</v>
      </c>
      <c r="D263">
        <f>(Prices!D997/Prices!D996)-1</f>
        <v>-5.0105419818925911E-2</v>
      </c>
      <c r="E263">
        <f>(Prices!E997/Prices!E996)-1</f>
        <v>-2.9965228062998617E-2</v>
      </c>
      <c r="F263">
        <f>(Prices!F997/Prices!F996)-1</f>
        <v>-2.0311058941896554E-2</v>
      </c>
      <c r="G263">
        <f t="shared" si="16"/>
        <v>-3.2650667367913382E-2</v>
      </c>
      <c r="H263" s="8">
        <f t="shared" si="19"/>
        <v>1032258.6321761206</v>
      </c>
      <c r="I263" s="8">
        <f t="shared" si="17"/>
        <v>1067100.1647020529</v>
      </c>
      <c r="J263" s="13">
        <f t="shared" si="18"/>
        <v>-3.2650667367913368E-2</v>
      </c>
    </row>
    <row r="264" spans="1:10" x14ac:dyDescent="0.25">
      <c r="A264" s="5">
        <v>44838</v>
      </c>
      <c r="B264">
        <f>(Prices!B996/Prices!B995)-1</f>
        <v>-2.9499404052443556E-2</v>
      </c>
      <c r="C264">
        <f>(Prices!C996/Prices!C995)-1</f>
        <v>-3.2716100639375689E-2</v>
      </c>
      <c r="D264">
        <f>(Prices!D996/Prices!D995)-1</f>
        <v>-3.518008854852217E-2</v>
      </c>
      <c r="E264">
        <f>(Prices!E996/Prices!E995)-1</f>
        <v>-4.4650708353688229E-2</v>
      </c>
      <c r="F264">
        <f>(Prices!F996/Prices!F995)-1</f>
        <v>-1.4643616911415469E-2</v>
      </c>
      <c r="G264">
        <f t="shared" si="16"/>
        <v>-3.1337983701089027E-2</v>
      </c>
      <c r="H264" s="8">
        <f t="shared" si="19"/>
        <v>999909.72798567696</v>
      </c>
      <c r="I264" s="8">
        <f t="shared" si="17"/>
        <v>1067100.1647020529</v>
      </c>
      <c r="J264" s="13">
        <f t="shared" si="18"/>
        <v>-6.2965444987197014E-2</v>
      </c>
    </row>
    <row r="265" spans="1:10" x14ac:dyDescent="0.25">
      <c r="A265" s="6">
        <v>44839</v>
      </c>
      <c r="B265">
        <f>(Prices!B995/Prices!B994)-1</f>
        <v>2.0901761719918088E-3</v>
      </c>
      <c r="C265">
        <f>(Prices!C995/Prices!C994)-1</f>
        <v>-1.285400340009013E-3</v>
      </c>
      <c r="D265">
        <f>(Prices!D995/Prices!D994)-1</f>
        <v>-3.887291546866023E-2</v>
      </c>
      <c r="E265">
        <f>(Prices!E995/Prices!E994)-1</f>
        <v>1.2464140864576034E-2</v>
      </c>
      <c r="F265">
        <f>(Prices!F995/Prices!F994)-1</f>
        <v>-7.4008774447495984E-3</v>
      </c>
      <c r="G265">
        <f t="shared" si="16"/>
        <v>-6.6009752433702001E-3</v>
      </c>
      <c r="H265" s="8">
        <f t="shared" si="19"/>
        <v>993309.34862563841</v>
      </c>
      <c r="I265" s="8">
        <f t="shared" si="17"/>
        <v>1067100.1647020529</v>
      </c>
      <c r="J265" s="13">
        <f t="shared" si="18"/>
        <v>-6.9150786887019006E-2</v>
      </c>
    </row>
    <row r="266" spans="1:10" x14ac:dyDescent="0.25">
      <c r="A266" s="5">
        <v>44840</v>
      </c>
      <c r="B266">
        <f>(Prices!B994/Prices!B993)-1</f>
        <v>9.9542106311023559E-5</v>
      </c>
      <c r="C266">
        <f>(Prices!C994/Prices!C993)-1</f>
        <v>9.7977640999873383E-3</v>
      </c>
      <c r="D266">
        <f>(Prices!D994/Prices!D993)-1</f>
        <v>-2.8817156260471322E-2</v>
      </c>
      <c r="E266">
        <f>(Prices!E994/Prices!E993)-1</f>
        <v>2.0801777239220387E-2</v>
      </c>
      <c r="F266">
        <f>(Prices!F994/Prices!F993)-1</f>
        <v>1.5298794829631701E-2</v>
      </c>
      <c r="G266">
        <f t="shared" si="16"/>
        <v>3.4361444029358257E-3</v>
      </c>
      <c r="H266" s="8">
        <f t="shared" si="19"/>
        <v>996722.50298430223</v>
      </c>
      <c r="I266" s="8">
        <f t="shared" si="17"/>
        <v>1067100.1647020529</v>
      </c>
      <c r="J266" s="13">
        <f t="shared" si="18"/>
        <v>-6.5952254573403604E-2</v>
      </c>
    </row>
    <row r="267" spans="1:10" x14ac:dyDescent="0.25">
      <c r="A267" s="6">
        <v>44841</v>
      </c>
      <c r="B267">
        <f>(Prices!B993/Prices!B992)-1</f>
        <v>2.7723785166240411E-2</v>
      </c>
      <c r="C267">
        <f>(Prices!C993/Prices!C992)-1</f>
        <v>5.3553310688605693E-2</v>
      </c>
      <c r="D267">
        <f>(Prices!D993/Prices!D992)-1</f>
        <v>1.0268562401263726E-2</v>
      </c>
      <c r="E267">
        <f>(Prices!E993/Prices!E992)-1</f>
        <v>2.0401854714064971E-2</v>
      </c>
      <c r="F267">
        <f>(Prices!F993/Prices!F992)-1</f>
        <v>2.8273618423868774E-2</v>
      </c>
      <c r="G267">
        <f t="shared" si="16"/>
        <v>2.8044226278808718E-2</v>
      </c>
      <c r="H267" s="8">
        <f t="shared" si="19"/>
        <v>1024674.8143951746</v>
      </c>
      <c r="I267" s="8">
        <f t="shared" si="17"/>
        <v>1067100.1647020529</v>
      </c>
      <c r="J267" s="13">
        <f t="shared" si="18"/>
        <v>-3.9757608245449008E-2</v>
      </c>
    </row>
    <row r="268" spans="1:10" x14ac:dyDescent="0.25">
      <c r="A268" s="5">
        <v>44844</v>
      </c>
      <c r="B268">
        <f>(Prices!B992/Prices!B991)-1</f>
        <v>8.3556839282030726E-3</v>
      </c>
      <c r="C268">
        <f>(Prices!C992/Prices!C991)-1</f>
        <v>2.177048589200381E-2</v>
      </c>
      <c r="D268">
        <f>(Prices!D992/Prices!D991)-1</f>
        <v>2.2145328719723301E-2</v>
      </c>
      <c r="E268">
        <f>(Prices!E992/Prices!E991)-1</f>
        <v>9.465363012273631E-3</v>
      </c>
      <c r="F268">
        <f>(Prices!F992/Prices!F991)-1</f>
        <v>1.1999653439611846E-2</v>
      </c>
      <c r="G268">
        <f t="shared" si="16"/>
        <v>1.4747302998363134E-2</v>
      </c>
      <c r="H268" s="8">
        <f t="shared" si="19"/>
        <v>1039786.0043578518</v>
      </c>
      <c r="I268" s="8">
        <f t="shared" si="17"/>
        <v>1067100.1647020529</v>
      </c>
      <c r="J268" s="13">
        <f t="shared" si="18"/>
        <v>-2.5596622742371684E-2</v>
      </c>
    </row>
    <row r="269" spans="1:10" x14ac:dyDescent="0.25">
      <c r="A269" s="6">
        <v>44845</v>
      </c>
      <c r="B269">
        <f>(Prices!B991/Prices!B990)-1</f>
        <v>7.0642011219612666E-3</v>
      </c>
      <c r="C269">
        <f>(Prices!C991/Prices!C990)-1</f>
        <v>1.705326854313749E-2</v>
      </c>
      <c r="D269">
        <f>(Prices!D991/Prices!D990)-1</f>
        <v>8.6086551884598794E-3</v>
      </c>
      <c r="E269">
        <f>(Prices!E991/Prices!E990)-1</f>
        <v>2.9666916568490853E-2</v>
      </c>
      <c r="F269">
        <f>(Prices!F991/Prices!F990)-1</f>
        <v>-1.8808777429467627E-3</v>
      </c>
      <c r="G269">
        <f t="shared" si="16"/>
        <v>1.2102432735820547E-2</v>
      </c>
      <c r="H269" s="8">
        <f t="shared" si="19"/>
        <v>1052369.9445352403</v>
      </c>
      <c r="I269" s="8">
        <f t="shared" si="17"/>
        <v>1067100.1647020529</v>
      </c>
      <c r="J269" s="13">
        <f t="shared" si="18"/>
        <v>-1.3803971411554887E-2</v>
      </c>
    </row>
    <row r="270" spans="1:10" x14ac:dyDescent="0.25">
      <c r="A270" s="5">
        <v>44846</v>
      </c>
      <c r="B270">
        <f>(Prices!B990/Prices!B989)-1</f>
        <v>-3.9321192052980125E-3</v>
      </c>
      <c r="C270">
        <f>(Prices!C990/Prices!C989)-1</f>
        <v>-1.5105048748111916E-3</v>
      </c>
      <c r="D270">
        <f>(Prices!D990/Prices!D989)-1</f>
        <v>-4.4012045401901068E-3</v>
      </c>
      <c r="E270">
        <f>(Prices!E990/Prices!E989)-1</f>
        <v>-1.591483979763908E-2</v>
      </c>
      <c r="F270">
        <f>(Prices!F990/Prices!F989)-1</f>
        <v>-3.0257840022474003E-4</v>
      </c>
      <c r="G270">
        <f t="shared" si="16"/>
        <v>-5.2122493636326261E-3</v>
      </c>
      <c r="H270" s="8">
        <f t="shared" si="19"/>
        <v>1046884.7299615304</v>
      </c>
      <c r="I270" s="8">
        <f t="shared" si="17"/>
        <v>1067100.1647020529</v>
      </c>
      <c r="J270" s="13">
        <f t="shared" si="18"/>
        <v>-1.8944271033982003E-2</v>
      </c>
    </row>
    <row r="271" spans="1:10" x14ac:dyDescent="0.25">
      <c r="A271" s="6">
        <v>44847</v>
      </c>
      <c r="B271">
        <f>(Prices!B989/Prices!B988)-1</f>
        <v>-1.5183939671863822E-2</v>
      </c>
      <c r="C271">
        <f>(Prices!C989/Prices!C988)-1</f>
        <v>-3.6260973135118446E-2</v>
      </c>
      <c r="D271">
        <f>(Prices!D989/Prices!D988)-1</f>
        <v>-3.3795881826320429E-2</v>
      </c>
      <c r="E271">
        <f>(Prices!E989/Prices!E988)-1</f>
        <v>-5.2621068397403992E-2</v>
      </c>
      <c r="F271">
        <f>(Prices!F989/Prices!F988)-1</f>
        <v>-1.9516846789573994E-2</v>
      </c>
      <c r="G271">
        <f t="shared" si="16"/>
        <v>-3.1475741964056142E-2</v>
      </c>
      <c r="H271" s="8">
        <f t="shared" si="19"/>
        <v>1013933.2563351507</v>
      </c>
      <c r="I271" s="8">
        <f t="shared" si="17"/>
        <v>1067100.1647020529</v>
      </c>
      <c r="J271" s="13">
        <f t="shared" si="18"/>
        <v>-4.9823728011275395E-2</v>
      </c>
    </row>
    <row r="272" spans="1:10" x14ac:dyDescent="0.25">
      <c r="A272" s="5">
        <v>44848</v>
      </c>
      <c r="B272">
        <f>(Prices!B988/Prices!B987)-1</f>
        <v>2.5927861996863477E-2</v>
      </c>
      <c r="C272">
        <f>(Prices!C988/Prices!C987)-1</f>
        <v>2.4865500248655081E-2</v>
      </c>
      <c r="D272">
        <f>(Prices!D988/Prices!D987)-1</f>
        <v>2.7008389840248226E-2</v>
      </c>
      <c r="E272">
        <f>(Prices!E988/Prices!E987)-1</f>
        <v>-1.6401492830485087E-2</v>
      </c>
      <c r="F272">
        <f>(Prices!F988/Prices!F987)-1</f>
        <v>-6.2752695417790383E-3</v>
      </c>
      <c r="G272">
        <f t="shared" si="16"/>
        <v>1.1024997942700532E-2</v>
      </c>
      <c r="H272" s="8">
        <f t="shared" si="19"/>
        <v>1025111.8684002814</v>
      </c>
      <c r="I272" s="8">
        <f t="shared" si="17"/>
        <v>1067100.1647020529</v>
      </c>
      <c r="J272" s="13">
        <f t="shared" si="18"/>
        <v>-3.9348036567396806E-2</v>
      </c>
    </row>
    <row r="273" spans="1:10" x14ac:dyDescent="0.25">
      <c r="A273" s="6">
        <v>44851</v>
      </c>
      <c r="B273">
        <f>(Prices!B987/Prices!B986)-1</f>
        <v>-3.4131071392507262E-2</v>
      </c>
      <c r="C273">
        <f>(Prices!C987/Prices!C986)-1</f>
        <v>-3.7760473311001852E-2</v>
      </c>
      <c r="D273">
        <f>(Prices!D987/Prices!D986)-1</f>
        <v>-1.416270111035578E-2</v>
      </c>
      <c r="E273">
        <f>(Prices!E987/Prices!E986)-1</f>
        <v>-4.033930254476914E-2</v>
      </c>
      <c r="F273">
        <f>(Prices!F987/Prices!F986)-1</f>
        <v>-1.6770880781812991E-2</v>
      </c>
      <c r="G273">
        <f t="shared" si="16"/>
        <v>-2.8632885828089406E-2</v>
      </c>
      <c r="H273" s="8">
        <f t="shared" si="19"/>
        <v>995759.95731135667</v>
      </c>
      <c r="I273" s="8">
        <f t="shared" si="17"/>
        <v>1067100.1647020529</v>
      </c>
      <c r="J273" s="13">
        <f t="shared" si="18"/>
        <v>-6.6854274556892523E-2</v>
      </c>
    </row>
    <row r="274" spans="1:10" x14ac:dyDescent="0.25">
      <c r="A274" s="5">
        <v>44852</v>
      </c>
      <c r="B274">
        <f>(Prices!B986/Prices!B985)-1</f>
        <v>-7.9142456421558149E-3</v>
      </c>
      <c r="C274">
        <f>(Prices!C986/Prices!C985)-1</f>
        <v>-4.0726138382218835E-3</v>
      </c>
      <c r="D274">
        <f>(Prices!D986/Prices!D985)-1</f>
        <v>-1.8095453517303905E-3</v>
      </c>
      <c r="E274">
        <f>(Prices!E986/Prices!E985)-1</f>
        <v>-2.5084994946246497E-2</v>
      </c>
      <c r="F274">
        <f>(Prices!F986/Prices!F985)-1</f>
        <v>-6.414368184733954E-4</v>
      </c>
      <c r="G274">
        <f t="shared" si="16"/>
        <v>-7.9045673193655977E-3</v>
      </c>
      <c r="H274" s="8">
        <f t="shared" si="19"/>
        <v>987888.90569486038</v>
      </c>
      <c r="I274" s="8">
        <f t="shared" si="17"/>
        <v>1067100.1647020529</v>
      </c>
      <c r="J274" s="13">
        <f t="shared" si="18"/>
        <v>-7.4230387762435859E-2</v>
      </c>
    </row>
    <row r="275" spans="1:10" x14ac:dyDescent="0.25">
      <c r="A275" s="6">
        <v>44853</v>
      </c>
      <c r="B275">
        <f>(Prices!B985/Prices!B984)-1</f>
        <v>1.1449994933630414E-2</v>
      </c>
      <c r="C275">
        <f>(Prices!C985/Prices!C984)-1</f>
        <v>8.5204928777418143E-3</v>
      </c>
      <c r="D275">
        <f>(Prices!D985/Prices!D984)-1</f>
        <v>-2.877855887521974E-2</v>
      </c>
      <c r="E275">
        <f>(Prices!E985/Prices!E984)-1</f>
        <v>2.005811228793708E-2</v>
      </c>
      <c r="F275">
        <f>(Prices!F985/Prices!F984)-1</f>
        <v>3.634173692735887E-3</v>
      </c>
      <c r="G275">
        <f t="shared" si="16"/>
        <v>2.9768429833650911E-3</v>
      </c>
      <c r="H275" s="8">
        <f t="shared" si="19"/>
        <v>990829.6958521225</v>
      </c>
      <c r="I275" s="8">
        <f t="shared" si="17"/>
        <v>1067100.1647020529</v>
      </c>
      <c r="J275" s="13">
        <f t="shared" si="18"/>
        <v>-7.1474516988033698E-2</v>
      </c>
    </row>
    <row r="276" spans="1:10" x14ac:dyDescent="0.25">
      <c r="A276" s="5">
        <v>44854</v>
      </c>
      <c r="B276">
        <f>(Prices!B984/Prices!B983)-1</f>
        <v>-3.4333030394829711E-3</v>
      </c>
      <c r="C276">
        <f>(Prices!C984/Prices!C983)-1</f>
        <v>1.400192526472388E-3</v>
      </c>
      <c r="D276">
        <f>(Prices!D984/Prices!D983)-1</f>
        <v>-1.4259076450586772E-3</v>
      </c>
      <c r="E276">
        <f>(Prices!E984/Prices!E983)-1</f>
        <v>3.1969910672309254E-3</v>
      </c>
      <c r="F276">
        <f>(Prices!F984/Prices!F983)-1</f>
        <v>-1.0579815371849488E-3</v>
      </c>
      <c r="G276">
        <f t="shared" si="16"/>
        <v>-2.640017256046568E-4</v>
      </c>
      <c r="H276" s="8">
        <f t="shared" si="19"/>
        <v>990568.11510263721</v>
      </c>
      <c r="I276" s="8">
        <f t="shared" si="17"/>
        <v>1067100.1647020529</v>
      </c>
      <c r="J276" s="13">
        <f t="shared" si="18"/>
        <v>-7.1719649317816755E-2</v>
      </c>
    </row>
    <row r="277" spans="1:10" x14ac:dyDescent="0.25">
      <c r="A277" s="6">
        <v>44855</v>
      </c>
      <c r="B277">
        <f>(Prices!B983/Prices!B982)-1</f>
        <v>-1.1479337193052608E-2</v>
      </c>
      <c r="C277">
        <f>(Prices!C983/Prices!C982)-1</f>
        <v>-2.4667121884602294E-2</v>
      </c>
      <c r="D277">
        <f>(Prices!D983/Prices!D982)-1</f>
        <v>-1.8199440017230173E-2</v>
      </c>
      <c r="E277">
        <f>(Prices!E983/Prices!E982)-1</f>
        <v>-4.9852586437952429E-2</v>
      </c>
      <c r="F277">
        <f>(Prices!F983/Prices!F982)-1</f>
        <v>-2.4091507237574583E-2</v>
      </c>
      <c r="G277">
        <f t="shared" si="16"/>
        <v>-2.565799855408242E-2</v>
      </c>
      <c r="H277" s="8">
        <f t="shared" si="19"/>
        <v>965152.11983761354</v>
      </c>
      <c r="I277" s="8">
        <f t="shared" si="17"/>
        <v>1067100.1647020529</v>
      </c>
      <c r="J277" s="13">
        <f t="shared" si="18"/>
        <v>-9.553746521340338E-2</v>
      </c>
    </row>
    <row r="278" spans="1:10" x14ac:dyDescent="0.25">
      <c r="A278" s="5">
        <v>44858</v>
      </c>
      <c r="B278">
        <f>(Prices!B982/Prices!B981)-1</f>
        <v>-1.3490891186607512E-2</v>
      </c>
      <c r="C278">
        <f>(Prices!C982/Prices!C981)-1</f>
        <v>-2.0728853226345767E-2</v>
      </c>
      <c r="D278">
        <f>(Prices!D982/Prices!D981)-1</f>
        <v>-6.9511282215806158E-3</v>
      </c>
      <c r="E278">
        <f>(Prices!E982/Prices!E981)-1</f>
        <v>-1.2492192379761624E-3</v>
      </c>
      <c r="F278">
        <f>(Prices!F982/Prices!F981)-1</f>
        <v>-1.4524270295074193E-2</v>
      </c>
      <c r="G278">
        <f t="shared" si="16"/>
        <v>-1.138887243351685E-2</v>
      </c>
      <c r="H278" s="8">
        <f t="shared" si="19"/>
        <v>954160.12546584464</v>
      </c>
      <c r="I278" s="8">
        <f t="shared" si="17"/>
        <v>1067100.1647020529</v>
      </c>
      <c r="J278" s="13">
        <f t="shared" si="18"/>
        <v>-0.10583827364298319</v>
      </c>
    </row>
    <row r="279" spans="1:10" x14ac:dyDescent="0.25">
      <c r="A279" s="6">
        <v>44859</v>
      </c>
      <c r="B279">
        <f>(Prices!B981/Prices!B980)-1</f>
        <v>-1.8840579710144967E-2</v>
      </c>
      <c r="C279">
        <f>(Prices!C981/Prices!C980)-1</f>
        <v>-1.3603759584467023E-2</v>
      </c>
      <c r="D279">
        <f>(Prices!D981/Prices!D980)-1</f>
        <v>6.7829457364341206E-3</v>
      </c>
      <c r="E279">
        <f>(Prices!E981/Prices!E980)-1</f>
        <v>-2.5809896760413675E-3</v>
      </c>
      <c r="F279">
        <f>(Prices!F981/Prices!F980)-1</f>
        <v>2.5602560256026141E-3</v>
      </c>
      <c r="G279">
        <f t="shared" si="16"/>
        <v>-5.1364254417233255E-3</v>
      </c>
      <c r="H279" s="8">
        <f t="shared" si="19"/>
        <v>949259.15312192391</v>
      </c>
      <c r="I279" s="8">
        <f t="shared" si="17"/>
        <v>1067100.1647020529</v>
      </c>
      <c r="J279" s="13">
        <f t="shared" si="18"/>
        <v>-0.11043106868325867</v>
      </c>
    </row>
    <row r="280" spans="1:10" x14ac:dyDescent="0.25">
      <c r="A280" s="5">
        <v>44860</v>
      </c>
      <c r="B280">
        <f>(Prices!B980/Prices!B979)-1</f>
        <v>0.1005954912803062</v>
      </c>
      <c r="C280">
        <f>(Prices!C980/Prices!C979)-1</f>
        <v>8.362369337979092E-2</v>
      </c>
      <c r="D280">
        <f>(Prices!D980/Prices!D979)-1</f>
        <v>-1.1704618003830713E-2</v>
      </c>
      <c r="E280">
        <f>(Prices!E980/Prices!E979)-1</f>
        <v>-1.1350637923449258E-2</v>
      </c>
      <c r="F280">
        <f>(Prices!F980/Prices!F979)-1</f>
        <v>-5.4308904273097092E-3</v>
      </c>
      <c r="G280">
        <f t="shared" si="16"/>
        <v>3.1146607661101493E-2</v>
      </c>
      <c r="H280" s="8">
        <f t="shared" si="19"/>
        <v>978825.35553292197</v>
      </c>
      <c r="I280" s="8">
        <f t="shared" si="17"/>
        <v>1067100.1647020529</v>
      </c>
      <c r="J280" s="13">
        <f t="shared" si="18"/>
        <v>-8.2724014192030751E-2</v>
      </c>
    </row>
    <row r="281" spans="1:10" x14ac:dyDescent="0.25">
      <c r="A281" s="6">
        <v>44861</v>
      </c>
      <c r="B281">
        <f>(Prices!B979/Prices!B978)-1</f>
        <v>2.9447181171319281E-2</v>
      </c>
      <c r="C281">
        <f>(Prices!C979/Prices!C978)-1</f>
        <v>2.0142180094786744E-2</v>
      </c>
      <c r="D281">
        <f>(Prices!D979/Prices!D978)-1</f>
        <v>-3.8159847360610399E-3</v>
      </c>
      <c r="E281">
        <f>(Prices!E979/Prices!E978)-1</f>
        <v>-3.9439088518842258E-3</v>
      </c>
      <c r="F281">
        <f>(Prices!F979/Prices!F978)-1</f>
        <v>2.5328573422946921E-3</v>
      </c>
      <c r="G281">
        <f t="shared" si="16"/>
        <v>8.8724650040910916E-3</v>
      </c>
      <c r="H281" s="8">
        <f t="shared" si="19"/>
        <v>987509.9492450048</v>
      </c>
      <c r="I281" s="8">
        <f t="shared" si="17"/>
        <v>1067100.1647020529</v>
      </c>
      <c r="J281" s="13">
        <f t="shared" si="18"/>
        <v>-7.4585515108856429E-2</v>
      </c>
    </row>
    <row r="282" spans="1:10" x14ac:dyDescent="0.25">
      <c r="A282" s="5">
        <v>44862</v>
      </c>
      <c r="B282">
        <f>(Prices!B978/Prices!B977)-1</f>
        <v>-4.2252044453763959E-2</v>
      </c>
      <c r="C282">
        <f>(Prices!C978/Prices!C977)-1</f>
        <v>-3.8682262233320275E-2</v>
      </c>
      <c r="D282">
        <f>(Prices!D978/Prices!D977)-1</f>
        <v>-2.8424304840370618E-2</v>
      </c>
      <c r="E282">
        <f>(Prices!E978/Prices!E977)-1</f>
        <v>-1.1778971072232802E-2</v>
      </c>
      <c r="F282">
        <f>(Prices!F978/Prices!F977)-1</f>
        <v>-1.713221601489745E-2</v>
      </c>
      <c r="G282">
        <f t="shared" si="16"/>
        <v>-2.7653959722917024E-2</v>
      </c>
      <c r="H282" s="8">
        <f t="shared" si="19"/>
        <v>960201.38888260361</v>
      </c>
      <c r="I282" s="8">
        <f t="shared" si="17"/>
        <v>1067100.1647020529</v>
      </c>
      <c r="J282" s="13">
        <f t="shared" si="18"/>
        <v>-0.1001768900010401</v>
      </c>
    </row>
    <row r="283" spans="1:10" x14ac:dyDescent="0.25">
      <c r="A283" s="6">
        <v>44865</v>
      </c>
      <c r="B283">
        <f>(Prices!B977/Prices!B976)-1</f>
        <v>1.879940183721418E-2</v>
      </c>
      <c r="C283">
        <f>(Prices!C977/Prices!C976)-1</f>
        <v>1.6113955041175076E-2</v>
      </c>
      <c r="D283">
        <f>(Prices!D977/Prices!D976)-1</f>
        <v>-1.0288065843622185E-3</v>
      </c>
      <c r="E283">
        <f>(Prices!E977/Prices!E976)-1</f>
        <v>1.648303981955479E-3</v>
      </c>
      <c r="F283">
        <f>(Prices!F977/Prices!F976)-1</f>
        <v>-7.0459544153999021E-3</v>
      </c>
      <c r="G283">
        <f t="shared" si="16"/>
        <v>5.6973799721165234E-3</v>
      </c>
      <c r="H283" s="8">
        <f t="shared" si="19"/>
        <v>965672.02104482183</v>
      </c>
      <c r="I283" s="8">
        <f t="shared" si="17"/>
        <v>1067100.1647020529</v>
      </c>
      <c r="J283" s="13">
        <f t="shared" si="18"/>
        <v>-9.5050255835684425E-2</v>
      </c>
    </row>
    <row r="284" spans="1:10" x14ac:dyDescent="0.25">
      <c r="A284" s="5">
        <v>44866</v>
      </c>
      <c r="B284">
        <f>(Prices!B976/Prices!B975)-1</f>
        <v>4.4632894443204618E-2</v>
      </c>
      <c r="C284">
        <f>(Prices!C976/Prices!C975)-1</f>
        <v>1.7390516733843508E-2</v>
      </c>
      <c r="D284">
        <f>(Prices!D976/Prices!D975)-1</f>
        <v>-9.8808189874707297E-3</v>
      </c>
      <c r="E284">
        <f>(Prices!E976/Prices!E975)-1</f>
        <v>-1.7724755006391146E-2</v>
      </c>
      <c r="F284">
        <f>(Prices!F976/Prices!F975)-1</f>
        <v>1.4333379400209179E-2</v>
      </c>
      <c r="G284">
        <f t="shared" si="16"/>
        <v>9.7502433166790862E-3</v>
      </c>
      <c r="H284" s="8">
        <f t="shared" si="19"/>
        <v>975087.55821411812</v>
      </c>
      <c r="I284" s="8">
        <f t="shared" si="17"/>
        <v>1067100.1647020529</v>
      </c>
      <c r="J284" s="13">
        <f t="shared" si="18"/>
        <v>-8.6226775640715833E-2</v>
      </c>
    </row>
    <row r="285" spans="1:10" x14ac:dyDescent="0.25">
      <c r="A285" s="6">
        <v>44867</v>
      </c>
      <c r="B285">
        <f>(Prices!B975/Prices!B974)-1</f>
        <v>4.0278583865351214E-2</v>
      </c>
      <c r="C285">
        <f>(Prices!C975/Prices!C974)-1</f>
        <v>3.6617999154969327E-2</v>
      </c>
      <c r="D285">
        <f>(Prices!D975/Prices!D974)-1</f>
        <v>2.1008840353614167E-2</v>
      </c>
      <c r="E285">
        <f>(Prices!E975/Prices!E974)-1</f>
        <v>9.288724520512659E-3</v>
      </c>
      <c r="F285">
        <f>(Prices!F975/Prices!F974)-1</f>
        <v>7.1383122564223633E-3</v>
      </c>
      <c r="G285">
        <f t="shared" si="16"/>
        <v>2.2866492030173942E-2</v>
      </c>
      <c r="H285" s="8">
        <f t="shared" si="19"/>
        <v>997384.3900927431</v>
      </c>
      <c r="I285" s="8">
        <f t="shared" si="17"/>
        <v>1067100.1647020529</v>
      </c>
      <c r="J285" s="13">
        <f t="shared" si="18"/>
        <v>-6.5331987488517845E-2</v>
      </c>
    </row>
    <row r="286" spans="1:10" x14ac:dyDescent="0.25">
      <c r="A286" s="5">
        <v>44868</v>
      </c>
      <c r="B286">
        <f>(Prices!B974/Prices!B973)-1</f>
        <v>4.2473378509196635E-2</v>
      </c>
      <c r="C286">
        <f>(Prices!C974/Prices!C973)-1</f>
        <v>2.7346387575962083E-2</v>
      </c>
      <c r="D286">
        <f>(Prices!D974/Prices!D973)-1</f>
        <v>-1.3441411861276342E-2</v>
      </c>
      <c r="E286">
        <f>(Prices!E974/Prices!E973)-1</f>
        <v>-1.8028846153846922E-3</v>
      </c>
      <c r="F286">
        <f>(Prices!F974/Prices!F973)-1</f>
        <v>-3.3791170565899975E-4</v>
      </c>
      <c r="G286">
        <f t="shared" si="16"/>
        <v>1.0847511580567737E-2</v>
      </c>
      <c r="H286" s="8">
        <f t="shared" si="19"/>
        <v>1008203.5288145517</v>
      </c>
      <c r="I286" s="8">
        <f t="shared" si="17"/>
        <v>1067100.1647020529</v>
      </c>
      <c r="J286" s="13">
        <f t="shared" si="18"/>
        <v>-5.5193165398813276E-2</v>
      </c>
    </row>
    <row r="287" spans="1:10" x14ac:dyDescent="0.25">
      <c r="A287" s="6">
        <v>44869</v>
      </c>
      <c r="B287">
        <f>(Prices!B973/Prices!B972)-1</f>
        <v>-3.6380597014925464E-2</v>
      </c>
      <c r="C287">
        <f>(Prices!C973/Prices!C972)-1</f>
        <v>-3.2252042007001158E-2</v>
      </c>
      <c r="D287">
        <f>(Prices!D973/Prices!D972)-1</f>
        <v>-1.0759236703207442E-2</v>
      </c>
      <c r="E287">
        <f>(Prices!E973/Prices!E972)-1</f>
        <v>-2.6656639090833156E-2</v>
      </c>
      <c r="F287">
        <f>(Prices!F973/Prices!F972)-1</f>
        <v>1.0099184837168096E-2</v>
      </c>
      <c r="G287">
        <f t="shared" si="16"/>
        <v>-1.9189865995759826E-2</v>
      </c>
      <c r="H287" s="8">
        <f t="shared" si="19"/>
        <v>988856.23820014822</v>
      </c>
      <c r="I287" s="8">
        <f t="shared" si="17"/>
        <v>1067100.1647020529</v>
      </c>
      <c r="J287" s="13">
        <f t="shared" si="18"/>
        <v>-7.3323881946688069E-2</v>
      </c>
    </row>
    <row r="288" spans="1:10" x14ac:dyDescent="0.25">
      <c r="A288" s="5">
        <v>44872</v>
      </c>
      <c r="B288">
        <f>(Prices!B972/Prices!B971)-1</f>
        <v>-2.1674652064795685E-2</v>
      </c>
      <c r="C288">
        <f>(Prices!C972/Prices!C971)-1</f>
        <v>-2.8432795211318695E-2</v>
      </c>
      <c r="D288">
        <f>(Prices!D972/Prices!D971)-1</f>
        <v>-1.1637239165329105E-2</v>
      </c>
      <c r="E288">
        <f>(Prices!E972/Prices!E971)-1</f>
        <v>-5.2369077306733125E-3</v>
      </c>
      <c r="F288">
        <f>(Prices!F972/Prices!F971)-1</f>
        <v>-1.256938937351304E-2</v>
      </c>
      <c r="G288">
        <f t="shared" si="16"/>
        <v>-1.5910196709125968E-2</v>
      </c>
      <c r="H288" s="8">
        <f t="shared" si="19"/>
        <v>973123.34093333757</v>
      </c>
      <c r="I288" s="8">
        <f t="shared" si="17"/>
        <v>1067100.1647020529</v>
      </c>
      <c r="J288" s="13">
        <f t="shared" si="18"/>
        <v>-8.8067481270565462E-2</v>
      </c>
    </row>
    <row r="289" spans="1:10" x14ac:dyDescent="0.25">
      <c r="A289" s="6">
        <v>44873</v>
      </c>
      <c r="B289">
        <f>(Prices!B971/Prices!B970)-1</f>
        <v>-4.542357483534043E-3</v>
      </c>
      <c r="C289">
        <f>(Prices!C971/Prices!C970)-1</f>
        <v>-4.3794302225833581E-3</v>
      </c>
      <c r="D289">
        <f>(Prices!D971/Prices!D970)-1</f>
        <v>-3.1999999999999806E-3</v>
      </c>
      <c r="E289">
        <f>(Prices!E971/Prices!E970)-1</f>
        <v>-5.8154025089318662E-4</v>
      </c>
      <c r="F289">
        <f>(Prices!F971/Prices!F970)-1</f>
        <v>-1.4516538694488434E-2</v>
      </c>
      <c r="G289">
        <f t="shared" si="16"/>
        <v>-5.4439733302998009E-3</v>
      </c>
      <c r="H289" s="8">
        <f t="shared" si="19"/>
        <v>967825.68341820431</v>
      </c>
      <c r="I289" s="8">
        <f t="shared" si="17"/>
        <v>1067100.1647020529</v>
      </c>
      <c r="J289" s="13">
        <f t="shared" si="18"/>
        <v>-9.3032017581561571E-2</v>
      </c>
    </row>
    <row r="290" spans="1:10" x14ac:dyDescent="0.25">
      <c r="A290" s="5">
        <v>44874</v>
      </c>
      <c r="B290">
        <f>(Prices!B970/Prices!B969)-1</f>
        <v>1.8034682080924958E-2</v>
      </c>
      <c r="C290">
        <f>(Prices!C970/Prices!C969)-1</f>
        <v>1.942283794357258E-2</v>
      </c>
      <c r="D290">
        <f>(Prices!D970/Prices!D969)-1</f>
        <v>4.6791583795666281E-2</v>
      </c>
      <c r="E290">
        <f>(Prices!E970/Prices!E969)-1</f>
        <v>1.3130207894958446E-2</v>
      </c>
      <c r="F290">
        <f>(Prices!F970/Prices!F969)-1</f>
        <v>2.2923495083539747E-2</v>
      </c>
      <c r="G290">
        <f t="shared" si="16"/>
        <v>2.4060561359732401E-2</v>
      </c>
      <c r="H290" s="8">
        <f t="shared" si="19"/>
        <v>991112.11265961302</v>
      </c>
      <c r="I290" s="8">
        <f t="shared" si="17"/>
        <v>1067100.1647020529</v>
      </c>
      <c r="J290" s="13">
        <f t="shared" si="18"/>
        <v>-7.1209858789269984E-2</v>
      </c>
    </row>
    <row r="291" spans="1:10" x14ac:dyDescent="0.25">
      <c r="A291" s="6">
        <v>44875</v>
      </c>
      <c r="B291">
        <f>(Prices!B969/Prices!B968)-1</f>
        <v>-7.0392262224610369E-2</v>
      </c>
      <c r="C291">
        <f>(Prices!C969/Prices!C968)-1</f>
        <v>-7.6036572400595359E-2</v>
      </c>
      <c r="D291">
        <f>(Prices!D969/Prices!D968)-1</f>
        <v>-1.4443412772103592E-2</v>
      </c>
      <c r="E291">
        <f>(Prices!E969/Prices!E968)-1</f>
        <v>-3.9531123686337932E-2</v>
      </c>
      <c r="F291">
        <f>(Prices!F969/Prices!F968)-1</f>
        <v>-6.4534064057504281E-3</v>
      </c>
      <c r="G291">
        <f t="shared" si="16"/>
        <v>-4.1371355497879535E-2</v>
      </c>
      <c r="H291" s="8">
        <f t="shared" si="19"/>
        <v>950108.46110851772</v>
      </c>
      <c r="I291" s="8">
        <f t="shared" si="17"/>
        <v>1067100.1647020529</v>
      </c>
      <c r="J291" s="13">
        <f t="shared" si="18"/>
        <v>-0.10963516590422484</v>
      </c>
    </row>
    <row r="292" spans="1:10" x14ac:dyDescent="0.25">
      <c r="A292" s="5">
        <v>44876</v>
      </c>
      <c r="B292">
        <f>(Prices!B968/Prices!B967)-1</f>
        <v>-2.5654450261780148E-2</v>
      </c>
      <c r="C292">
        <f>(Prices!C968/Prices!C967)-1</f>
        <v>-1.6684787153968261E-2</v>
      </c>
      <c r="D292">
        <f>(Prices!D968/Prices!D967)-1</f>
        <v>-3.0312124849939837E-2</v>
      </c>
      <c r="E292">
        <f>(Prices!E968/Prices!E967)-1</f>
        <v>-1.6142050040355294E-3</v>
      </c>
      <c r="F292">
        <f>(Prices!F968/Prices!F967)-1</f>
        <v>4.2325523636062456E-2</v>
      </c>
      <c r="G292">
        <f t="shared" si="16"/>
        <v>-6.3880087267322635E-3</v>
      </c>
      <c r="H292" s="8">
        <f t="shared" si="19"/>
        <v>944039.15996761434</v>
      </c>
      <c r="I292" s="8">
        <f t="shared" si="17"/>
        <v>1067100.1647020529</v>
      </c>
      <c r="J292" s="13">
        <f t="shared" si="18"/>
        <v>-0.11532282423440418</v>
      </c>
    </row>
    <row r="293" spans="1:10" x14ac:dyDescent="0.25">
      <c r="A293" s="6">
        <v>44879</v>
      </c>
      <c r="B293">
        <f>(Prices!B967/Prices!B966)-1</f>
        <v>7.3839662447257037E-3</v>
      </c>
      <c r="C293">
        <f>(Prices!C967/Prices!C966)-1</f>
        <v>2.301505817932914E-2</v>
      </c>
      <c r="D293">
        <f>(Prices!D967/Prices!D966)-1</f>
        <v>-2.8927680798005451E-3</v>
      </c>
      <c r="E293">
        <f>(Prices!E967/Prices!E966)-1</f>
        <v>1.0356356519611865E-2</v>
      </c>
      <c r="F293">
        <f>(Prices!F967/Prices!F966)-1</f>
        <v>1.6194842888991756E-2</v>
      </c>
      <c r="G293">
        <f t="shared" si="16"/>
        <v>1.0811491150571584E-2</v>
      </c>
      <c r="H293" s="8">
        <f t="shared" si="19"/>
        <v>954245.63099139731</v>
      </c>
      <c r="I293" s="8">
        <f t="shared" si="17"/>
        <v>1067100.1647020529</v>
      </c>
      <c r="J293" s="13">
        <f t="shared" si="18"/>
        <v>-0.10575814477750171</v>
      </c>
    </row>
    <row r="294" spans="1:10" x14ac:dyDescent="0.25">
      <c r="A294" s="5">
        <v>44880</v>
      </c>
      <c r="B294">
        <f>(Prices!B966/Prices!B965)-1</f>
        <v>-2.7792021331145556E-2</v>
      </c>
      <c r="C294">
        <f>(Prices!C966/Prices!C965)-1</f>
        <v>-1.750864756373538E-3</v>
      </c>
      <c r="D294">
        <f>(Prices!D966/Prices!D965)-1</f>
        <v>-6.6389219183511372E-3</v>
      </c>
      <c r="E294">
        <f>(Prices!E966/Prices!E965)-1</f>
        <v>7.3106620666996136E-3</v>
      </c>
      <c r="F294">
        <f>(Prices!F966/Prices!F965)-1</f>
        <v>2.1352466059460395E-2</v>
      </c>
      <c r="G294">
        <f t="shared" si="16"/>
        <v>-1.5037359759420442E-3</v>
      </c>
      <c r="H294" s="8">
        <f t="shared" si="19"/>
        <v>952810.69750619004</v>
      </c>
      <c r="I294" s="8">
        <f t="shared" si="17"/>
        <v>1067100.1647020529</v>
      </c>
      <c r="J294" s="13">
        <f t="shared" si="18"/>
        <v>-0.10710284842639292</v>
      </c>
    </row>
    <row r="295" spans="1:10" x14ac:dyDescent="0.25">
      <c r="A295" s="6">
        <v>44881</v>
      </c>
      <c r="B295">
        <f>(Prices!B965/Prices!B964)-1</f>
        <v>-4.1870915032679035E-3</v>
      </c>
      <c r="C295">
        <f>(Prices!C965/Prices!C964)-1</f>
        <v>-1.832907075873802E-3</v>
      </c>
      <c r="D295">
        <f>(Prices!D965/Prices!D964)-1</f>
        <v>1.0817307692307709E-2</v>
      </c>
      <c r="E295">
        <f>(Prices!E965/Prices!E964)-1</f>
        <v>-1.3125512715341792E-3</v>
      </c>
      <c r="F295">
        <f>(Prices!F965/Prices!F964)-1</f>
        <v>-1.6624770273981349E-2</v>
      </c>
      <c r="G295">
        <f t="shared" si="16"/>
        <v>-2.6280024864699047E-3</v>
      </c>
      <c r="H295" s="8">
        <f t="shared" si="19"/>
        <v>950306.70862400869</v>
      </c>
      <c r="I295" s="8">
        <f t="shared" si="17"/>
        <v>1067100.1647020529</v>
      </c>
      <c r="J295" s="13">
        <f t="shared" si="18"/>
        <v>-0.10944938436089022</v>
      </c>
    </row>
    <row r="296" spans="1:10" x14ac:dyDescent="0.25">
      <c r="A296" s="5">
        <v>44882</v>
      </c>
      <c r="B296">
        <f>(Prices!B964/Prices!B963)-1</f>
        <v>5.0292517705019524E-3</v>
      </c>
      <c r="C296">
        <f>(Prices!C964/Prices!C963)-1</f>
        <v>2.1317416329136307E-4</v>
      </c>
      <c r="D296">
        <f>(Prices!D964/Prices!D963)-1</f>
        <v>-1.3003901170350884E-3</v>
      </c>
      <c r="E296">
        <f>(Prices!E964/Prices!E963)-1</f>
        <v>4.366812227074135E-3</v>
      </c>
      <c r="F296">
        <f>(Prices!F964/Prices!F963)-1</f>
        <v>-7.3600335500104697E-3</v>
      </c>
      <c r="G296">
        <f t="shared" si="16"/>
        <v>1.8976289876437825E-4</v>
      </c>
      <c r="H296" s="8">
        <f t="shared" si="19"/>
        <v>950487.04157975246</v>
      </c>
      <c r="I296" s="8">
        <f t="shared" si="17"/>
        <v>1067100.1647020529</v>
      </c>
      <c r="J296" s="13">
        <f t="shared" si="18"/>
        <v>-0.1092803908945701</v>
      </c>
    </row>
    <row r="297" spans="1:10" x14ac:dyDescent="0.25">
      <c r="A297" s="6">
        <v>44883</v>
      </c>
      <c r="B297">
        <f>(Prices!B963/Prices!B962)-1</f>
        <v>9.5326909128587989E-3</v>
      </c>
      <c r="C297">
        <f>(Prices!C963/Prices!C962)-1</f>
        <v>1.922255446390464E-3</v>
      </c>
      <c r="D297">
        <f>(Prices!D963/Prices!D962)-1</f>
        <v>8.6772273231763286E-3</v>
      </c>
      <c r="E297">
        <f>(Prices!E963/Prices!E962)-1</f>
        <v>-9.7095300261096362E-3</v>
      </c>
      <c r="F297">
        <f>(Prices!F963/Prices!F962)-1</f>
        <v>-2.7706986890660423E-2</v>
      </c>
      <c r="G297">
        <f t="shared" si="16"/>
        <v>-3.4568686468688936E-3</v>
      </c>
      <c r="H297" s="8">
        <f t="shared" si="19"/>
        <v>947201.3327264603</v>
      </c>
      <c r="I297" s="8">
        <f t="shared" si="17"/>
        <v>1067100.1647020529</v>
      </c>
      <c r="J297" s="13">
        <f t="shared" si="18"/>
        <v>-0.11235949158443793</v>
      </c>
    </row>
    <row r="298" spans="1:10" x14ac:dyDescent="0.25">
      <c r="A298" s="5">
        <v>44886</v>
      </c>
      <c r="B298">
        <f>(Prices!B962/Prices!B961)-1</f>
        <v>1.9112988384371699E-2</v>
      </c>
      <c r="C298">
        <f>(Prices!C962/Prices!C961)-1</f>
        <v>-3.448129070707906E-3</v>
      </c>
      <c r="D298">
        <f>(Prices!D962/Prices!D961)-1</f>
        <v>1.0089686098654571E-2</v>
      </c>
      <c r="E298">
        <f>(Prices!E962/Prices!E961)-1</f>
        <v>5.909389363099038E-3</v>
      </c>
      <c r="F298">
        <f>(Prices!F962/Prices!F961)-1</f>
        <v>2.4757646665552357E-2</v>
      </c>
      <c r="G298">
        <f t="shared" si="16"/>
        <v>1.1284316288193954E-2</v>
      </c>
      <c r="H298" s="8">
        <f t="shared" si="19"/>
        <v>957889.85215354455</v>
      </c>
      <c r="I298" s="8">
        <f t="shared" si="17"/>
        <v>1067100.1647020529</v>
      </c>
      <c r="J298" s="13">
        <f t="shared" si="18"/>
        <v>-0.10234307533726342</v>
      </c>
    </row>
    <row r="299" spans="1:10" x14ac:dyDescent="0.25">
      <c r="A299" s="6">
        <v>44887</v>
      </c>
      <c r="B299">
        <f>(Prices!B961/Prices!B960)-1</f>
        <v>-1.4978156854587032E-2</v>
      </c>
      <c r="C299">
        <f>(Prices!C961/Prices!C960)-1</f>
        <v>-1.2153069806560168E-2</v>
      </c>
      <c r="D299">
        <f>(Prices!D961/Prices!D960)-1</f>
        <v>-2.812995245641825E-2</v>
      </c>
      <c r="E299">
        <f>(Prices!E961/Prices!E960)-1</f>
        <v>-1.4717774543101969E-2</v>
      </c>
      <c r="F299">
        <f>(Prices!F961/Prices!F960)-1</f>
        <v>-1.1278661433588133E-2</v>
      </c>
      <c r="G299">
        <f t="shared" si="16"/>
        <v>-1.6251523018851109E-2</v>
      </c>
      <c r="H299" s="8">
        <f t="shared" si="19"/>
        <v>942322.68317174725</v>
      </c>
      <c r="I299" s="8">
        <f t="shared" si="17"/>
        <v>1067100.1647020529</v>
      </c>
      <c r="J299" s="13">
        <f t="shared" si="18"/>
        <v>-0.11693136751145104</v>
      </c>
    </row>
    <row r="300" spans="1:10" x14ac:dyDescent="0.25">
      <c r="A300" s="5">
        <v>44888</v>
      </c>
      <c r="B300">
        <f>(Prices!B960/Prices!B959)-1</f>
        <v>-1.4252025017943204E-2</v>
      </c>
      <c r="C300">
        <f>(Prices!C960/Prices!C959)-1</f>
        <v>-1.0280101552420207E-2</v>
      </c>
      <c r="D300">
        <f>(Prices!D960/Prices!D959)-1</f>
        <v>4.9771053155485134E-3</v>
      </c>
      <c r="E300">
        <f>(Prices!E960/Prices!E959)-1</f>
        <v>-1.0561689870379309E-2</v>
      </c>
      <c r="F300">
        <f>(Prices!F960/Prices!F959)-1</f>
        <v>-1.2504334700038755E-2</v>
      </c>
      <c r="G300">
        <f t="shared" si="16"/>
        <v>-8.5242091650465923E-3</v>
      </c>
      <c r="H300" s="8">
        <f t="shared" si="19"/>
        <v>934290.12751942337</v>
      </c>
      <c r="I300" s="8">
        <f t="shared" si="17"/>
        <v>1067100.1647020529</v>
      </c>
      <c r="J300" s="13">
        <f t="shared" si="18"/>
        <v>-0.12445882924187507</v>
      </c>
    </row>
    <row r="301" spans="1:10" x14ac:dyDescent="0.25">
      <c r="A301" s="6">
        <v>44890</v>
      </c>
      <c r="B301">
        <f>(Prices!B959/Prices!B958)-1</f>
        <v>1.0254816656308119E-2</v>
      </c>
      <c r="C301">
        <f>(Prices!C959/Prices!C958)-1</f>
        <v>3.3306965319135351E-4</v>
      </c>
      <c r="D301">
        <f>(Prices!D959/Prices!D958)-1</f>
        <v>3.4961542303466597E-3</v>
      </c>
      <c r="E301">
        <f>(Prices!E959/Prices!E958)-1</f>
        <v>-1.916626736942928E-3</v>
      </c>
      <c r="F301">
        <f>(Prices!F959/Prices!F958)-1</f>
        <v>-1.4712089237262527E-2</v>
      </c>
      <c r="G301">
        <f t="shared" si="16"/>
        <v>-5.0893508687186459E-4</v>
      </c>
      <c r="H301" s="8">
        <f t="shared" si="19"/>
        <v>933814.63449221069</v>
      </c>
      <c r="I301" s="8">
        <f t="shared" si="17"/>
        <v>1067100.1647020529</v>
      </c>
      <c r="J301" s="13">
        <f t="shared" si="18"/>
        <v>-0.12490442286367481</v>
      </c>
    </row>
    <row r="302" spans="1:10" x14ac:dyDescent="0.25">
      <c r="A302" s="5">
        <v>44893</v>
      </c>
      <c r="B302">
        <f>(Prices!B958/Prices!B957)-1</f>
        <v>1.4715156611309732E-2</v>
      </c>
      <c r="C302">
        <f>(Prices!C958/Prices!C957)-1</f>
        <v>2.3696884456378076E-2</v>
      </c>
      <c r="D302">
        <f>(Prices!D958/Prices!D957)-1</f>
        <v>3.0998970133882642E-2</v>
      </c>
      <c r="E302">
        <f>(Prices!E958/Prices!E957)-1</f>
        <v>1.7800536454523286E-2</v>
      </c>
      <c r="F302">
        <f>(Prices!F958/Prices!F957)-1</f>
        <v>1.0048721071863609E-2</v>
      </c>
      <c r="G302">
        <f t="shared" si="16"/>
        <v>1.9452053745591471E-2</v>
      </c>
      <c r="H302" s="8">
        <f t="shared" si="19"/>
        <v>951979.24695077306</v>
      </c>
      <c r="I302" s="8">
        <f t="shared" si="17"/>
        <v>1067100.1647020529</v>
      </c>
      <c r="J302" s="13">
        <f t="shared" si="18"/>
        <v>-0.10788201666468961</v>
      </c>
    </row>
    <row r="303" spans="1:10" x14ac:dyDescent="0.25">
      <c r="A303" s="6">
        <v>44894</v>
      </c>
      <c r="B303">
        <f>(Prices!B957/Prices!B956)-1</f>
        <v>9.014741754162614E-3</v>
      </c>
      <c r="C303">
        <f>(Prices!C957/Prices!C956)-1</f>
        <v>5.9595266678098557E-3</v>
      </c>
      <c r="D303">
        <f>(Prices!D957/Prices!D956)-1</f>
        <v>-6.547984448536992E-3</v>
      </c>
      <c r="E303">
        <f>(Prices!E957/Prices!E956)-1</f>
        <v>-1.6153538584566141E-2</v>
      </c>
      <c r="F303">
        <f>(Prices!F957/Prices!F956)-1</f>
        <v>8.1041257367386876E-3</v>
      </c>
      <c r="G303">
        <f t="shared" si="16"/>
        <v>7.5374225121604965E-5</v>
      </c>
      <c r="H303" s="8">
        <f t="shared" si="19"/>
        <v>952051.00164884387</v>
      </c>
      <c r="I303" s="8">
        <f t="shared" si="17"/>
        <v>1067100.1647020529</v>
      </c>
      <c r="J303" s="13">
        <f t="shared" si="18"/>
        <v>-0.1078147739629786</v>
      </c>
    </row>
    <row r="304" spans="1:10" x14ac:dyDescent="0.25">
      <c r="A304" s="5">
        <v>44895</v>
      </c>
      <c r="B304">
        <f>(Prices!B956/Prices!B955)-1</f>
        <v>-5.7477009196321482E-2</v>
      </c>
      <c r="C304">
        <f>(Prices!C956/Prices!C955)-1</f>
        <v>-5.8034812810468073E-2</v>
      </c>
      <c r="D304">
        <f>(Prices!D956/Prices!D955)-1</f>
        <v>-7.2117826307771526E-3</v>
      </c>
      <c r="E304">
        <f>(Prices!E956/Prices!E955)-1</f>
        <v>-1.1774932827564477E-2</v>
      </c>
      <c r="F304">
        <f>(Prices!F956/Prices!F955)-1</f>
        <v>-3.6079932140532289E-2</v>
      </c>
      <c r="G304">
        <f t="shared" si="16"/>
        <v>-3.41156939211327E-2</v>
      </c>
      <c r="H304" s="8">
        <f t="shared" si="19"/>
        <v>919571.12107928412</v>
      </c>
      <c r="I304" s="8">
        <f t="shared" si="17"/>
        <v>1067100.1647020529</v>
      </c>
      <c r="J304" s="13">
        <f t="shared" si="18"/>
        <v>-0.1382522920554142</v>
      </c>
    </row>
    <row r="305" spans="1:10" x14ac:dyDescent="0.25">
      <c r="A305" s="6">
        <v>44896</v>
      </c>
      <c r="B305">
        <f>(Prices!B955/Prices!B954)-1</f>
        <v>0</v>
      </c>
      <c r="C305">
        <f>(Prices!C955/Prices!C954)-1</f>
        <v>1.7801513128616886E-3</v>
      </c>
      <c r="D305">
        <f>(Prices!D955/Prices!D954)-1</f>
        <v>4.8994590180668762E-3</v>
      </c>
      <c r="E305">
        <f>(Prices!E955/Prices!E954)-1</f>
        <v>1.4267393395319017E-2</v>
      </c>
      <c r="F305">
        <f>(Prices!F955/Prices!F954)-1</f>
        <v>2.0205679325403958E-2</v>
      </c>
      <c r="G305">
        <f t="shared" si="16"/>
        <v>8.230536610330309E-3</v>
      </c>
      <c r="H305" s="8">
        <f t="shared" si="19"/>
        <v>927139.6848571297</v>
      </c>
      <c r="I305" s="8">
        <f t="shared" si="17"/>
        <v>1067100.1647020529</v>
      </c>
      <c r="J305" s="13">
        <f t="shared" si="18"/>
        <v>-0.13115964599630803</v>
      </c>
    </row>
    <row r="306" spans="1:10" x14ac:dyDescent="0.25">
      <c r="A306" s="5">
        <v>44897</v>
      </c>
      <c r="B306">
        <f>(Prices!B954/Prices!B953)-1</f>
        <v>5.528193788320479E-3</v>
      </c>
      <c r="C306">
        <f>(Prices!C954/Prices!C953)-1</f>
        <v>-1.2929815346075513E-3</v>
      </c>
      <c r="D306">
        <f>(Prices!D954/Prices!D953)-1</f>
        <v>8.5443689520279253E-3</v>
      </c>
      <c r="E306">
        <f>(Prices!E954/Prices!E953)-1</f>
        <v>7.9987072796317005E-3</v>
      </c>
      <c r="F306">
        <f>(Prices!F954/Prices!F953)-1</f>
        <v>-1.6876619854138131E-3</v>
      </c>
      <c r="G306">
        <f t="shared" si="16"/>
        <v>3.8181252999917484E-3</v>
      </c>
      <c r="H306" s="8">
        <f t="shared" si="19"/>
        <v>930679.62034450914</v>
      </c>
      <c r="I306" s="8">
        <f t="shared" si="17"/>
        <v>1067100.1647020529</v>
      </c>
      <c r="J306" s="13">
        <f t="shared" si="18"/>
        <v>-0.12784230465903268</v>
      </c>
    </row>
    <row r="307" spans="1:10" x14ac:dyDescent="0.25">
      <c r="A307" s="6">
        <v>44900</v>
      </c>
      <c r="B307">
        <f>(Prices!B953/Prices!B952)-1</f>
        <v>9.6407550233406081E-3</v>
      </c>
      <c r="C307">
        <f>(Prices!C953/Prices!C952)-1</f>
        <v>1.9232353183428197E-2</v>
      </c>
      <c r="D307">
        <f>(Prices!D953/Prices!D952)-1</f>
        <v>2.8154106689246339E-2</v>
      </c>
      <c r="E307">
        <f>(Prices!E953/Prices!E952)-1</f>
        <v>2.8844555278470407E-2</v>
      </c>
      <c r="F307">
        <f>(Prices!F953/Prices!F952)-1</f>
        <v>2.093861362217897E-3</v>
      </c>
      <c r="G307">
        <f t="shared" si="16"/>
        <v>1.7593126307340692E-2</v>
      </c>
      <c r="H307" s="8">
        <f t="shared" si="19"/>
        <v>947053.18445689802</v>
      </c>
      <c r="I307" s="8">
        <f t="shared" si="17"/>
        <v>1067100.1647020529</v>
      </c>
      <c r="J307" s="13">
        <f t="shared" si="18"/>
        <v>-0.11249832416497985</v>
      </c>
    </row>
    <row r="308" spans="1:10" x14ac:dyDescent="0.25">
      <c r="A308" s="5">
        <v>44901</v>
      </c>
      <c r="B308">
        <f>(Prices!B952/Prices!B951)-1</f>
        <v>2.571041948579178E-2</v>
      </c>
      <c r="C308">
        <f>(Prices!C952/Prices!C951)-1</f>
        <v>2.0723863970742773E-2</v>
      </c>
      <c r="D308">
        <f>(Prices!D952/Prices!D951)-1</f>
        <v>2.8521663400827402E-2</v>
      </c>
      <c r="E308">
        <f>(Prices!E952/Prices!E951)-1</f>
        <v>-1.6597510373443924E-3</v>
      </c>
      <c r="F308">
        <f>(Prices!F952/Prices!F951)-1</f>
        <v>-7.9295330164184108E-3</v>
      </c>
      <c r="G308">
        <f t="shared" si="16"/>
        <v>1.3073332560719832E-2</v>
      </c>
      <c r="H308" s="8">
        <f t="shared" si="19"/>
        <v>959434.3256899917</v>
      </c>
      <c r="I308" s="8">
        <f t="shared" si="17"/>
        <v>1067100.1647020529</v>
      </c>
      <c r="J308" s="13">
        <f t="shared" si="18"/>
        <v>-0.10089571960859253</v>
      </c>
    </row>
    <row r="309" spans="1:10" x14ac:dyDescent="0.25">
      <c r="A309" s="6">
        <v>44902</v>
      </c>
      <c r="B309">
        <f>(Prices!B951/Prices!B950)-1</f>
        <v>2.1477937267410985E-2</v>
      </c>
      <c r="C309">
        <f>(Prices!C951/Prices!C950)-1</f>
        <v>3.0780907404284186E-3</v>
      </c>
      <c r="D309">
        <f>(Prices!D951/Prices!D950)-1</f>
        <v>2.2913256955809924E-3</v>
      </c>
      <c r="E309">
        <f>(Prices!E951/Prices!E950)-1</f>
        <v>6.6434147151639422E-4</v>
      </c>
      <c r="F309">
        <f>(Prices!F951/Prices!F950)-1</f>
        <v>-6.6072739538483027E-3</v>
      </c>
      <c r="G309">
        <f t="shared" si="16"/>
        <v>4.1808842442176983E-3</v>
      </c>
      <c r="H309" s="8">
        <f t="shared" si="19"/>
        <v>963445.60954563064</v>
      </c>
      <c r="I309" s="8">
        <f t="shared" si="17"/>
        <v>1067100.1647020529</v>
      </c>
      <c r="J309" s="13">
        <f t="shared" si="18"/>
        <v>-9.7136668688795391E-2</v>
      </c>
    </row>
    <row r="310" spans="1:10" x14ac:dyDescent="0.25">
      <c r="A310" s="5">
        <v>44903</v>
      </c>
      <c r="B310">
        <f>(Prices!B950/Prices!B949)-1</f>
        <v>1.314230313476239E-2</v>
      </c>
      <c r="C310">
        <f>(Prices!C950/Prices!C949)-1</f>
        <v>-1.2244897959183709E-2</v>
      </c>
      <c r="D310">
        <f>(Prices!D950/Prices!D949)-1</f>
        <v>-7.3648868190187011E-3</v>
      </c>
      <c r="E310">
        <f>(Prices!E950/Prices!E949)-1</f>
        <v>-1.0355029585798814E-2</v>
      </c>
      <c r="F310">
        <f>(Prices!F950/Prices!F949)-1</f>
        <v>-9.1420257942749217E-3</v>
      </c>
      <c r="G310">
        <f t="shared" si="16"/>
        <v>-5.1929074047027514E-3</v>
      </c>
      <c r="H310" s="8">
        <f t="shared" si="19"/>
        <v>958442.52570579271</v>
      </c>
      <c r="I310" s="8">
        <f t="shared" si="17"/>
        <v>1067100.1647020529</v>
      </c>
      <c r="J310" s="13">
        <f t="shared" si="18"/>
        <v>-0.101825154367396</v>
      </c>
    </row>
    <row r="311" spans="1:10" x14ac:dyDescent="0.25">
      <c r="A311" s="6">
        <v>44904</v>
      </c>
      <c r="B311">
        <f>(Prices!B949/Prices!B948)-1</f>
        <v>9.5704187058183177E-3</v>
      </c>
      <c r="C311">
        <f>(Prices!C949/Prices!C948)-1</f>
        <v>8.0611302376354388E-3</v>
      </c>
      <c r="D311">
        <f>(Prices!D949/Prices!D948)-1</f>
        <v>8.5199344620425776E-3</v>
      </c>
      <c r="E311">
        <f>(Prices!E949/Prices!E948)-1</f>
        <v>5.4536440257808572E-3</v>
      </c>
      <c r="F311">
        <f>(Prices!F949/Prices!F948)-1</f>
        <v>1.6162221556287992E-2</v>
      </c>
      <c r="G311">
        <f t="shared" si="16"/>
        <v>9.5534697975130367E-3</v>
      </c>
      <c r="H311" s="8">
        <f t="shared" si="19"/>
        <v>967598.97742777516</v>
      </c>
      <c r="I311" s="8">
        <f t="shared" si="17"/>
        <v>1067100.1647020529</v>
      </c>
      <c r="J311" s="13">
        <f t="shared" si="18"/>
        <v>-9.3244468106758946E-2</v>
      </c>
    </row>
    <row r="312" spans="1:10" x14ac:dyDescent="0.25">
      <c r="A312" s="5">
        <v>44907</v>
      </c>
      <c r="B312">
        <f>(Prices!B948/Prices!B947)-1</f>
        <v>-5.1931191171697977E-3</v>
      </c>
      <c r="C312">
        <f>(Prices!C948/Prices!C947)-1</f>
        <v>-2.8074757202317779E-2</v>
      </c>
      <c r="D312">
        <f>(Prices!D948/Prices!D947)-1</f>
        <v>-2.4091248267775311E-2</v>
      </c>
      <c r="E312">
        <f>(Prices!E948/Prices!E947)-1</f>
        <v>-1.5296989422294627E-2</v>
      </c>
      <c r="F312">
        <f>(Prices!F948/Prices!F947)-1</f>
        <v>-1.2195843940560058E-2</v>
      </c>
      <c r="G312">
        <f t="shared" si="16"/>
        <v>-1.6970391590023514E-2</v>
      </c>
      <c r="H312" s="8">
        <f t="shared" si="19"/>
        <v>951178.44387871947</v>
      </c>
      <c r="I312" s="8">
        <f t="shared" si="17"/>
        <v>1067100.1647020529</v>
      </c>
      <c r="J312" s="13">
        <f t="shared" si="18"/>
        <v>-0.10863246455940732</v>
      </c>
    </row>
    <row r="313" spans="1:10" x14ac:dyDescent="0.25">
      <c r="A313" s="6">
        <v>44908</v>
      </c>
      <c r="B313">
        <f>(Prices!B947/Prices!B946)-1</f>
        <v>-2.4279531299482682E-2</v>
      </c>
      <c r="C313">
        <f>(Prices!C947/Prices!C946)-1</f>
        <v>-1.7165316435389433E-2</v>
      </c>
      <c r="D313">
        <f>(Prices!D947/Prices!D946)-1</f>
        <v>-1.0860396457191057E-2</v>
      </c>
      <c r="E313">
        <f>(Prices!E947/Prices!E946)-1</f>
        <v>9.773578758756063E-4</v>
      </c>
      <c r="F313">
        <f>(Prices!F947/Prices!F946)-1</f>
        <v>1.4190216956208479E-2</v>
      </c>
      <c r="G313">
        <f t="shared" si="16"/>
        <v>-7.4275338719958176E-3</v>
      </c>
      <c r="H313" s="8">
        <f t="shared" si="19"/>
        <v>944113.53376849799</v>
      </c>
      <c r="I313" s="8">
        <f t="shared" si="17"/>
        <v>1067100.1647020529</v>
      </c>
      <c r="J313" s="13">
        <f t="shared" si="18"/>
        <v>-0.11525312712128977</v>
      </c>
    </row>
    <row r="314" spans="1:10" x14ac:dyDescent="0.25">
      <c r="A314" s="5">
        <v>44909</v>
      </c>
      <c r="B314">
        <f>(Prices!B946/Prices!B945)-1</f>
        <v>5.9466921524902183E-3</v>
      </c>
      <c r="C314">
        <f>(Prices!C946/Prices!C945)-1</f>
        <v>-1.1617193446300522E-3</v>
      </c>
      <c r="D314">
        <f>(Prices!D946/Prices!D945)-1</f>
        <v>7.4357340131718797E-3</v>
      </c>
      <c r="E314">
        <f>(Prices!E946/Prices!E945)-1</f>
        <v>4.9930424817876684E-3</v>
      </c>
      <c r="F314">
        <f>(Prices!F946/Prices!F945)-1</f>
        <v>-2.6011965504135759E-4</v>
      </c>
      <c r="G314">
        <f t="shared" si="16"/>
        <v>3.3907259295556718E-3</v>
      </c>
      <c r="H314" s="8">
        <f t="shared" si="19"/>
        <v>947314.76400789118</v>
      </c>
      <c r="I314" s="8">
        <f t="shared" si="17"/>
        <v>1067100.1647020529</v>
      </c>
      <c r="J314" s="13">
        <f t="shared" si="18"/>
        <v>-0.11225319295832671</v>
      </c>
    </row>
    <row r="315" spans="1:10" x14ac:dyDescent="0.25">
      <c r="A315" s="6">
        <v>44910</v>
      </c>
      <c r="B315">
        <f>(Prices!B945/Prices!B944)-1</f>
        <v>4.6333333333333337E-2</v>
      </c>
      <c r="C315">
        <f>(Prices!C945/Prices!C944)-1</f>
        <v>3.2980220144003924E-2</v>
      </c>
      <c r="D315">
        <f>(Prices!D945/Prices!D944)-1</f>
        <v>9.7608066073151534E-3</v>
      </c>
      <c r="E315">
        <f>(Prices!E945/Prices!E944)-1</f>
        <v>2.5432264562699425E-2</v>
      </c>
      <c r="F315">
        <f>(Prices!F945/Prices!F944)-1</f>
        <v>2.0251097274675889E-2</v>
      </c>
      <c r="G315">
        <f t="shared" si="16"/>
        <v>2.6951544384405546E-2</v>
      </c>
      <c r="H315" s="8">
        <f t="shared" si="19"/>
        <v>972846.35991605243</v>
      </c>
      <c r="I315" s="8">
        <f t="shared" si="17"/>
        <v>1067100.1647020529</v>
      </c>
      <c r="J315" s="13">
        <f t="shared" si="18"/>
        <v>-8.8327045486228842E-2</v>
      </c>
    </row>
    <row r="316" spans="1:10" x14ac:dyDescent="0.25">
      <c r="A316" s="5">
        <v>44911</v>
      </c>
      <c r="B316">
        <f>(Prices!B944/Prices!B943)-1</f>
        <v>6.5988144502853174E-3</v>
      </c>
      <c r="C316">
        <f>(Prices!C944/Prices!C943)-1</f>
        <v>1.7644334021139407E-2</v>
      </c>
      <c r="D316">
        <f>(Prices!D944/Prices!D943)-1</f>
        <v>7.0209548498596508E-3</v>
      </c>
      <c r="E316">
        <f>(Prices!E944/Prices!E943)-1</f>
        <v>6.2499999999998668E-3</v>
      </c>
      <c r="F316">
        <f>(Prices!F944/Prices!F943)-1</f>
        <v>7.59009379628095E-3</v>
      </c>
      <c r="G316">
        <f t="shared" si="16"/>
        <v>9.0208394235130399E-3</v>
      </c>
      <c r="H316" s="8">
        <f t="shared" si="19"/>
        <v>981622.25071260426</v>
      </c>
      <c r="I316" s="8">
        <f t="shared" si="17"/>
        <v>1067100.1647020529</v>
      </c>
      <c r="J316" s="13">
        <f t="shared" si="18"/>
        <v>-8.0102990156800447E-2</v>
      </c>
    </row>
    <row r="317" spans="1:10" x14ac:dyDescent="0.25">
      <c r="A317" s="6">
        <v>44914</v>
      </c>
      <c r="B317">
        <f>(Prices!B943/Prices!B942)-1</f>
        <v>2.0545599817372473E-2</v>
      </c>
      <c r="C317">
        <f>(Prices!C943/Prices!C942)-1</f>
        <v>1.7655881722734135E-2</v>
      </c>
      <c r="D317">
        <f>(Prices!D943/Prices!D942)-1</f>
        <v>-4.5161290322580649E-3</v>
      </c>
      <c r="E317">
        <f>(Prices!E943/Prices!E942)-1</f>
        <v>-5.8774139378672263E-3</v>
      </c>
      <c r="F317">
        <f>(Prices!F943/Prices!F942)-1</f>
        <v>1.8515851626310642E-4</v>
      </c>
      <c r="G317">
        <f t="shared" si="16"/>
        <v>5.5986194172488847E-3</v>
      </c>
      <c r="H317" s="8">
        <f t="shared" si="19"/>
        <v>987117.98010584735</v>
      </c>
      <c r="I317" s="8">
        <f t="shared" si="17"/>
        <v>1067100.1647020529</v>
      </c>
      <c r="J317" s="13">
        <f t="shared" si="18"/>
        <v>-7.4952836895623168E-2</v>
      </c>
    </row>
    <row r="318" spans="1:10" x14ac:dyDescent="0.25">
      <c r="A318" s="5">
        <v>44915</v>
      </c>
      <c r="B318">
        <f>(Prices!B942/Prices!B941)-1</f>
        <v>-6.4640508051713175E-3</v>
      </c>
      <c r="C318">
        <f>(Prices!C942/Prices!C941)-1</f>
        <v>-5.6249201005666993E-3</v>
      </c>
      <c r="D318">
        <f>(Prices!D942/Prices!D941)-1</f>
        <v>-1.4203943184227352E-2</v>
      </c>
      <c r="E318">
        <f>(Prices!E942/Prices!E941)-1</f>
        <v>-4.8462566844921229E-3</v>
      </c>
      <c r="F318">
        <f>(Prices!F942/Prices!F941)-1</f>
        <v>6.5228195146194157E-3</v>
      </c>
      <c r="G318">
        <f t="shared" si="16"/>
        <v>-4.9232702519676156E-3</v>
      </c>
      <c r="H318" s="8">
        <f t="shared" si="19"/>
        <v>982258.13151920994</v>
      </c>
      <c r="I318" s="8">
        <f t="shared" si="17"/>
        <v>1067100.1647020529</v>
      </c>
      <c r="J318" s="13">
        <f t="shared" si="18"/>
        <v>-7.9507094075401921E-2</v>
      </c>
    </row>
    <row r="319" spans="1:10" x14ac:dyDescent="0.25">
      <c r="A319" s="6">
        <v>44916</v>
      </c>
      <c r="B319">
        <f>(Prices!B941/Prices!B940)-1</f>
        <v>-6.3105702050934021E-3</v>
      </c>
      <c r="C319">
        <f>(Prices!C941/Prices!C940)-1</f>
        <v>-1.0749515217941208E-2</v>
      </c>
      <c r="D319">
        <f>(Prices!D941/Prices!D940)-1</f>
        <v>-1.2663526949241222E-2</v>
      </c>
      <c r="E319">
        <f>(Prices!E941/Prices!E940)-1</f>
        <v>-1.1072549991736791E-2</v>
      </c>
      <c r="F319">
        <f>(Prices!F941/Prices!F940)-1</f>
        <v>-1.3885485583598811E-2</v>
      </c>
      <c r="G319">
        <f t="shared" si="16"/>
        <v>-1.0936329589522287E-2</v>
      </c>
      <c r="H319" s="8">
        <f t="shared" si="19"/>
        <v>971515.83285092749</v>
      </c>
      <c r="I319" s="8">
        <f t="shared" si="17"/>
        <v>1067100.1647020529</v>
      </c>
      <c r="J319" s="13">
        <f t="shared" si="18"/>
        <v>-8.9573907879410497E-2</v>
      </c>
    </row>
    <row r="320" spans="1:10" x14ac:dyDescent="0.25">
      <c r="A320" s="5">
        <v>44917</v>
      </c>
      <c r="B320">
        <f>(Prices!B940/Prices!B939)-1</f>
        <v>2.0821350511905923E-2</v>
      </c>
      <c r="C320">
        <f>(Prices!C940/Prices!C939)-1</f>
        <v>2.621560823671909E-2</v>
      </c>
      <c r="D320">
        <f>(Prices!D940/Prices!D939)-1</f>
        <v>2.0615253151035962E-2</v>
      </c>
      <c r="E320">
        <f>(Prices!E940/Prices!E939)-1</f>
        <v>1.1450062682824891E-2</v>
      </c>
      <c r="F320">
        <f>(Prices!F940/Prices!F939)-1</f>
        <v>8.3791461445703597E-4</v>
      </c>
      <c r="G320">
        <f t="shared" si="16"/>
        <v>1.598803783938858E-2</v>
      </c>
      <c r="H320" s="8">
        <f t="shared" si="19"/>
        <v>987048.4647481133</v>
      </c>
      <c r="I320" s="8">
        <f t="shared" si="17"/>
        <v>1067100.1647020529</v>
      </c>
      <c r="J320" s="13">
        <f t="shared" si="18"/>
        <v>-7.5017981068619774E-2</v>
      </c>
    </row>
    <row r="321" spans="1:10" x14ac:dyDescent="0.25">
      <c r="A321" s="6">
        <v>44918</v>
      </c>
      <c r="B321">
        <f>(Prices!B939/Prices!B938)-1</f>
        <v>-1.6517705622807966E-2</v>
      </c>
      <c r="C321">
        <f>(Prices!C939/Prices!C938)-1</f>
        <v>-2.287539384522419E-3</v>
      </c>
      <c r="D321">
        <f>(Prices!D939/Prices!D938)-1</f>
        <v>-2.580645161290307E-2</v>
      </c>
      <c r="E321">
        <f>(Prices!E939/Prices!E938)-1</f>
        <v>-4.7413076027282841E-3</v>
      </c>
      <c r="F321">
        <f>(Prices!F939/Prices!F938)-1</f>
        <v>-7.9274968573862514E-3</v>
      </c>
      <c r="G321">
        <f t="shared" si="16"/>
        <v>-1.1456100216069598E-2</v>
      </c>
      <c r="H321" s="8">
        <f t="shared" si="19"/>
        <v>975740.73861784127</v>
      </c>
      <c r="I321" s="8">
        <f t="shared" si="17"/>
        <v>1067100.1647020529</v>
      </c>
      <c r="J321" s="13">
        <f t="shared" si="18"/>
        <v>-8.5614667775560052E-2</v>
      </c>
    </row>
    <row r="322" spans="1:10" x14ac:dyDescent="0.25">
      <c r="A322" s="5">
        <v>44922</v>
      </c>
      <c r="B322">
        <f>(Prices!B938/Prices!B937)-1</f>
        <v>2.1023449231835523E-2</v>
      </c>
      <c r="C322">
        <f>(Prices!C938/Prices!C937)-1</f>
        <v>7.4792364221420993E-3</v>
      </c>
      <c r="D322">
        <f>(Prices!D938/Prices!D937)-1</f>
        <v>-1.3752052545155991E-2</v>
      </c>
      <c r="E322">
        <f>(Prices!E938/Prices!E937)-1</f>
        <v>-3.48143236074272E-3</v>
      </c>
      <c r="F322">
        <f>(Prices!F938/Prices!F937)-1</f>
        <v>-1.2756909992912568E-3</v>
      </c>
      <c r="G322">
        <f t="shared" ref="G322:G385" si="20">B322*20%+C322*20%+D322*20%+E322*20%+F322*20%</f>
        <v>1.9987019497575312E-3</v>
      </c>
      <c r="H322" s="8">
        <f t="shared" si="19"/>
        <v>977690.95353457471</v>
      </c>
      <c r="I322" s="8">
        <f t="shared" ref="I322:I385" si="21">MAX(I321,H322)</f>
        <v>1067100.1647020529</v>
      </c>
      <c r="J322" s="13">
        <f t="shared" ref="J322:J385" si="22">(H322-I322)/I322</f>
        <v>-8.3787084029213268E-2</v>
      </c>
    </row>
    <row r="323" spans="1:10" x14ac:dyDescent="0.25">
      <c r="A323" s="6">
        <v>44923</v>
      </c>
      <c r="B323">
        <f>(Prices!B937/Prices!B936)-1</f>
        <v>1.5960568008449805E-2</v>
      </c>
      <c r="C323">
        <f>(Prices!C937/Prices!C936)-1</f>
        <v>1.0368612978340019E-2</v>
      </c>
      <c r="D323">
        <f>(Prices!D937/Prices!D936)-1</f>
        <v>1.6800584368152016E-2</v>
      </c>
      <c r="E323">
        <f>(Prices!E937/Prices!E936)-1</f>
        <v>-5.4410552349546393E-3</v>
      </c>
      <c r="F323">
        <f>(Prices!F937/Prices!F936)-1</f>
        <v>6.6860998430398055E-3</v>
      </c>
      <c r="G323">
        <f t="shared" si="20"/>
        <v>8.8749619926054013E-3</v>
      </c>
      <c r="H323" s="8">
        <f t="shared" si="19"/>
        <v>986367.92358770815</v>
      </c>
      <c r="I323" s="8">
        <f t="shared" si="21"/>
        <v>1067100.1647020529</v>
      </c>
      <c r="J323" s="13">
        <f t="shared" si="22"/>
        <v>-7.5655729222838419E-2</v>
      </c>
    </row>
    <row r="324" spans="1:10" x14ac:dyDescent="0.25">
      <c r="A324" s="5">
        <v>44924</v>
      </c>
      <c r="B324">
        <f>(Prices!B936/Prices!B935)-1</f>
        <v>-2.7505135813741255E-2</v>
      </c>
      <c r="C324">
        <f>(Prices!C936/Prices!C935)-1</f>
        <v>-2.689183411714402E-2</v>
      </c>
      <c r="D324">
        <f>(Prices!D936/Prices!D935)-1</f>
        <v>-7.5600662800331397E-3</v>
      </c>
      <c r="E324">
        <f>(Prices!E936/Prices!E935)-1</f>
        <v>-5.7377049180328266E-3</v>
      </c>
      <c r="F324">
        <f>(Prices!F936/Prices!F935)-1</f>
        <v>-2.7038015856881703E-3</v>
      </c>
      <c r="G324">
        <f t="shared" si="20"/>
        <v>-1.4079708542927881E-2</v>
      </c>
      <c r="H324" s="8">
        <f t="shared" ref="H324:H387" si="23">H323*(1+G324)</f>
        <v>972480.15070750029</v>
      </c>
      <c r="I324" s="8">
        <f t="shared" si="21"/>
        <v>1067100.1647020529</v>
      </c>
      <c r="J324" s="13">
        <f t="shared" si="22"/>
        <v>-8.8670227148706038E-2</v>
      </c>
    </row>
    <row r="325" spans="1:10" x14ac:dyDescent="0.25">
      <c r="A325" s="6">
        <v>44925</v>
      </c>
      <c r="B325">
        <f>(Prices!B935/Prices!B934)-1</f>
        <v>2.517162471395773E-3</v>
      </c>
      <c r="C325">
        <f>(Prices!C935/Prices!C934)-1</f>
        <v>4.9841024318981741E-3</v>
      </c>
      <c r="D325">
        <f>(Prices!D935/Prices!D934)-1</f>
        <v>-9.9456577463344908E-3</v>
      </c>
      <c r="E325">
        <f>(Prices!E935/Prices!E934)-1</f>
        <v>-6.514657980456029E-3</v>
      </c>
      <c r="F325">
        <f>(Prices!F935/Prices!F934)-1</f>
        <v>-5.4859093402692682E-4</v>
      </c>
      <c r="G325">
        <f t="shared" si="20"/>
        <v>-1.9015283515047001E-3</v>
      </c>
      <c r="H325" s="8">
        <f t="shared" si="23"/>
        <v>970630.95212965447</v>
      </c>
      <c r="I325" s="8">
        <f t="shared" si="21"/>
        <v>1067100.1647020529</v>
      </c>
      <c r="J325" s="13">
        <f t="shared" si="22"/>
        <v>-9.0403146549353053E-2</v>
      </c>
    </row>
    <row r="326" spans="1:10" x14ac:dyDescent="0.25">
      <c r="A326" s="5">
        <v>44929</v>
      </c>
      <c r="B326">
        <f>(Prices!B934/Prices!B933)-1</f>
        <v>-9.9682827367466587E-3</v>
      </c>
      <c r="C326">
        <f>(Prices!C934/Prices!C933)-1</f>
        <v>9.8920476538655322E-4</v>
      </c>
      <c r="D326">
        <f>(Prices!D934/Prices!D933)-1</f>
        <v>3.5570184752601319E-2</v>
      </c>
      <c r="E326">
        <f>(Prices!E934/Prices!E933)-1</f>
        <v>-7.5965734604815927E-3</v>
      </c>
      <c r="F326">
        <f>(Prices!F934/Prices!F933)-1</f>
        <v>2.2244838615876894E-2</v>
      </c>
      <c r="G326">
        <f t="shared" si="20"/>
        <v>8.2478743873273027E-3</v>
      </c>
      <c r="H326" s="8">
        <f t="shared" si="23"/>
        <v>978636.59429927182</v>
      </c>
      <c r="I326" s="8">
        <f t="shared" si="21"/>
        <v>1067100.1647020529</v>
      </c>
      <c r="J326" s="13">
        <f t="shared" si="22"/>
        <v>-8.2900905958983903E-2</v>
      </c>
    </row>
    <row r="327" spans="1:10" x14ac:dyDescent="0.25">
      <c r="A327" s="6">
        <v>44930</v>
      </c>
      <c r="B327">
        <f>(Prices!B933/Prices!B932)-1</f>
        <v>1.1805157593123283E-2</v>
      </c>
      <c r="C327">
        <f>(Prices!C933/Prices!C932)-1</f>
        <v>4.5740757398578635E-2</v>
      </c>
      <c r="D327">
        <f>(Prices!D933/Prices!D932)-1</f>
        <v>-2.9642176582679314E-3</v>
      </c>
      <c r="E327">
        <f>(Prices!E933/Prices!E932)-1</f>
        <v>-9.208103130755152E-3</v>
      </c>
      <c r="F327">
        <f>(Prices!F933/Prices!F932)-1</f>
        <v>2.8035786731578138E-2</v>
      </c>
      <c r="G327">
        <f t="shared" si="20"/>
        <v>1.4681876186851395E-2</v>
      </c>
      <c r="H327" s="8">
        <f t="shared" si="23"/>
        <v>993004.81560869573</v>
      </c>
      <c r="I327" s="8">
        <f t="shared" si="21"/>
        <v>1067100.1647020529</v>
      </c>
      <c r="J327" s="13">
        <f t="shared" si="22"/>
        <v>-6.9436170609200043E-2</v>
      </c>
    </row>
    <row r="328" spans="1:10" x14ac:dyDescent="0.25">
      <c r="A328" s="5">
        <v>44931</v>
      </c>
      <c r="B328">
        <f>(Prices!B932/Prices!B931)-1</f>
        <v>2.1782410118280859E-2</v>
      </c>
      <c r="C328">
        <f>(Prices!C932/Prices!C931)-1</f>
        <v>3.0544611819235179E-2</v>
      </c>
      <c r="D328">
        <f>(Prices!D932/Prices!D931)-1</f>
        <v>-2.184943564253905E-2</v>
      </c>
      <c r="E328">
        <f>(Prices!E932/Prices!E931)-1</f>
        <v>2.4026910139363089E-4</v>
      </c>
      <c r="F328">
        <f>(Prices!F932/Prices!F931)-1</f>
        <v>2.9658781109840771E-2</v>
      </c>
      <c r="G328">
        <f t="shared" si="20"/>
        <v>1.2075327301242278E-2</v>
      </c>
      <c r="H328" s="8">
        <f t="shared" si="23"/>
        <v>1004995.6737688805</v>
      </c>
      <c r="I328" s="8">
        <f t="shared" si="21"/>
        <v>1067100.1647020529</v>
      </c>
      <c r="J328" s="13">
        <f t="shared" si="22"/>
        <v>-5.819930779460869E-2</v>
      </c>
    </row>
    <row r="329" spans="1:10" x14ac:dyDescent="0.25">
      <c r="A329" s="6">
        <v>44932</v>
      </c>
      <c r="B329">
        <f>(Prices!B931/Prices!B930)-1</f>
        <v>-1.3060564031437738E-2</v>
      </c>
      <c r="C329">
        <f>(Prices!C931/Prices!C930)-1</f>
        <v>-1.1635897200971135E-2</v>
      </c>
      <c r="D329">
        <f>(Prices!D931/Prices!D930)-1</f>
        <v>-1.1970534069981609E-2</v>
      </c>
      <c r="E329">
        <f>(Prices!E931/Prices!E930)-1</f>
        <v>-1.8781925343811401E-2</v>
      </c>
      <c r="F329">
        <f>(Prices!F931/Prices!F930)-1</f>
        <v>-6.5952909622635225E-5</v>
      </c>
      <c r="G329">
        <f t="shared" si="20"/>
        <v>-1.1102974711164905E-2</v>
      </c>
      <c r="H329" s="8">
        <f t="shared" si="23"/>
        <v>993837.23221819452</v>
      </c>
      <c r="I329" s="8">
        <f t="shared" si="21"/>
        <v>1067100.1647020529</v>
      </c>
      <c r="J329" s="13">
        <f t="shared" si="22"/>
        <v>-6.8656097063122756E-2</v>
      </c>
    </row>
    <row r="330" spans="1:10" x14ac:dyDescent="0.25">
      <c r="A330" s="5">
        <v>44935</v>
      </c>
      <c r="B330">
        <f>(Prices!B930/Prices!B929)-1</f>
        <v>-7.6843674733341194E-3</v>
      </c>
      <c r="C330">
        <f>(Prices!C930/Prices!C929)-1</f>
        <v>-9.663369930133392E-3</v>
      </c>
      <c r="D330">
        <f>(Prices!D930/Prices!D929)-1</f>
        <v>1.9080387863622095E-2</v>
      </c>
      <c r="E330">
        <f>(Prices!E930/Prices!E929)-1</f>
        <v>4.1824494949496138E-3</v>
      </c>
      <c r="F330">
        <f>(Prices!F930/Prices!F929)-1</f>
        <v>-1.3188842239464371E-4</v>
      </c>
      <c r="G330">
        <f t="shared" si="20"/>
        <v>1.156642306541911E-3</v>
      </c>
      <c r="H330" s="8">
        <f t="shared" si="23"/>
        <v>994986.74640679453</v>
      </c>
      <c r="I330" s="8">
        <f t="shared" si="21"/>
        <v>1067100.1647020529</v>
      </c>
      <c r="J330" s="13">
        <f t="shared" si="22"/>
        <v>-6.7578865303046173E-2</v>
      </c>
    </row>
    <row r="331" spans="1:10" x14ac:dyDescent="0.25">
      <c r="A331" s="6">
        <v>44936</v>
      </c>
      <c r="B331">
        <f>(Prices!B929/Prices!B928)-1</f>
        <v>-4.5667313620276762E-3</v>
      </c>
      <c r="C331">
        <f>(Prices!C929/Prices!C928)-1</f>
        <v>-7.564160288158539E-3</v>
      </c>
      <c r="D331">
        <f>(Prices!D929/Prices!D928)-1</f>
        <v>-1.4791987673343554E-2</v>
      </c>
      <c r="E331">
        <f>(Prices!E929/Prices!E928)-1</f>
        <v>-8.9160018770529925E-3</v>
      </c>
      <c r="F331">
        <f>(Prices!F929/Prices!F928)-1</f>
        <v>8.3562372550758379E-3</v>
      </c>
      <c r="G331">
        <f t="shared" si="20"/>
        <v>-5.4965287891013855E-3</v>
      </c>
      <c r="H331" s="8">
        <f t="shared" si="23"/>
        <v>989517.7731103953</v>
      </c>
      <c r="I331" s="8">
        <f t="shared" si="21"/>
        <v>1067100.1647020529</v>
      </c>
      <c r="J331" s="13">
        <f t="shared" si="22"/>
        <v>-7.2703944913474525E-2</v>
      </c>
    </row>
    <row r="332" spans="1:10" x14ac:dyDescent="0.25">
      <c r="A332" s="5">
        <v>44937</v>
      </c>
      <c r="B332">
        <f>(Prices!B928/Prices!B927)-1</f>
        <v>-3.3862784028237281E-2</v>
      </c>
      <c r="C332">
        <f>(Prices!C928/Prices!C927)-1</f>
        <v>-2.9325641361828581E-2</v>
      </c>
      <c r="D332">
        <f>(Prices!D928/Prices!D927)-1</f>
        <v>-1.1474411047928568E-2</v>
      </c>
      <c r="E332">
        <f>(Prices!E928/Prices!E927)-1</f>
        <v>-7.3752037885257415E-3</v>
      </c>
      <c r="F332">
        <f>(Prices!F928/Prices!F927)-1</f>
        <v>-1.4999017531602599E-2</v>
      </c>
      <c r="G332">
        <f t="shared" si="20"/>
        <v>-1.9407411551624554E-2</v>
      </c>
      <c r="H332" s="8">
        <f t="shared" si="23"/>
        <v>970313.79444999481</v>
      </c>
      <c r="I332" s="8">
        <f t="shared" si="21"/>
        <v>1067100.1647020529</v>
      </c>
      <c r="J332" s="13">
        <f t="shared" si="22"/>
        <v>-9.0700361084736641E-2</v>
      </c>
    </row>
    <row r="333" spans="1:10" x14ac:dyDescent="0.25">
      <c r="A333" s="6">
        <v>44938</v>
      </c>
      <c r="B333">
        <f>(Prices!B927/Prices!B926)-1</f>
        <v>4.3203722166833547E-3</v>
      </c>
      <c r="C333">
        <f>(Prices!C927/Prices!C926)-1</f>
        <v>-1.1491769991791578E-2</v>
      </c>
      <c r="D333">
        <f>(Prices!D927/Prices!D926)-1</f>
        <v>-1.6282089701328495E-2</v>
      </c>
      <c r="E333">
        <f>(Prices!E927/Prices!E926)-1</f>
        <v>1.0102580043518383E-3</v>
      </c>
      <c r="F333">
        <f>(Prices!F927/Prices!F926)-1</f>
        <v>-4.5855609162429589E-3</v>
      </c>
      <c r="G333">
        <f t="shared" si="20"/>
        <v>-5.4057580776655685E-3</v>
      </c>
      <c r="H333" s="8">
        <f t="shared" si="23"/>
        <v>965068.51281777641</v>
      </c>
      <c r="I333" s="8">
        <f t="shared" si="21"/>
        <v>1067100.1647020529</v>
      </c>
      <c r="J333" s="13">
        <f t="shared" si="22"/>
        <v>-9.5615814952821218E-2</v>
      </c>
    </row>
    <row r="334" spans="1:10" x14ac:dyDescent="0.25">
      <c r="A334" s="5">
        <v>44939</v>
      </c>
      <c r="B334">
        <f>(Prices!B926/Prices!B925)-1</f>
        <v>-1.0739726027397256E-2</v>
      </c>
      <c r="C334">
        <f>(Prices!C926/Prices!C925)-1</f>
        <v>-3.0150320885558024E-3</v>
      </c>
      <c r="D334">
        <f>(Prices!D926/Prices!D925)-1</f>
        <v>5.9970014992516418E-4</v>
      </c>
      <c r="E334">
        <f>(Prices!E926/Prices!E925)-1</f>
        <v>-2.4634275752292933E-2</v>
      </c>
      <c r="F334">
        <f>(Prices!F926/Prices!F925)-1</f>
        <v>1.247607102779047E-2</v>
      </c>
      <c r="G334">
        <f t="shared" si="20"/>
        <v>-5.0626525381060727E-3</v>
      </c>
      <c r="H334" s="8">
        <f t="shared" si="23"/>
        <v>960182.70626191318</v>
      </c>
      <c r="I334" s="8">
        <f t="shared" si="21"/>
        <v>1067100.1647020529</v>
      </c>
      <c r="J334" s="13">
        <f t="shared" si="22"/>
        <v>-0.10019439784267337</v>
      </c>
    </row>
    <row r="335" spans="1:10" x14ac:dyDescent="0.25">
      <c r="A335" s="6">
        <v>44943</v>
      </c>
      <c r="B335">
        <f>(Prices!B925/Prices!B924)-1</f>
        <v>9.0677872387481262E-3</v>
      </c>
      <c r="C335">
        <f>(Prices!C925/Prices!C924)-1</f>
        <v>-4.6728971962617383E-3</v>
      </c>
      <c r="D335">
        <f>(Prices!D925/Prices!D924)-1</f>
        <v>1.902663729220988E-3</v>
      </c>
      <c r="E335">
        <f>(Prices!E925/Prices!E924)-1</f>
        <v>1.5705597043652375E-2</v>
      </c>
      <c r="F335">
        <f>(Prices!F925/Prices!F924)-1</f>
        <v>9.2380804334792899E-3</v>
      </c>
      <c r="G335">
        <f t="shared" si="20"/>
        <v>6.2482462497678087E-3</v>
      </c>
      <c r="H335" s="8">
        <f t="shared" si="23"/>
        <v>966182.16425540601</v>
      </c>
      <c r="I335" s="8">
        <f t="shared" si="21"/>
        <v>1067100.1647020529</v>
      </c>
      <c r="J335" s="13">
        <f t="shared" si="22"/>
        <v>-9.4572190863473862E-2</v>
      </c>
    </row>
    <row r="336" spans="1:10" x14ac:dyDescent="0.25">
      <c r="A336" s="5">
        <v>44944</v>
      </c>
      <c r="B336">
        <f>(Prices!B924/Prices!B923)-1</f>
        <v>1.8834478174163394E-3</v>
      </c>
      <c r="C336">
        <f>(Prices!C924/Prices!C923)-1</f>
        <v>1.9270264365304879E-2</v>
      </c>
      <c r="D336">
        <f>(Prices!D924/Prices!D923)-1</f>
        <v>2.0959002147019623E-2</v>
      </c>
      <c r="E336">
        <f>(Prices!E924/Prices!E923)-1</f>
        <v>3.0954837685530423E-2</v>
      </c>
      <c r="F336">
        <f>(Prices!F924/Prices!F923)-1</f>
        <v>1.8570459172132958E-2</v>
      </c>
      <c r="G336">
        <f t="shared" si="20"/>
        <v>1.8327602237480846E-2</v>
      </c>
      <c r="H336" s="8">
        <f t="shared" si="23"/>
        <v>983889.96665082744</v>
      </c>
      <c r="I336" s="8">
        <f t="shared" si="21"/>
        <v>1067100.1647020529</v>
      </c>
      <c r="J336" s="13">
        <f t="shared" si="22"/>
        <v>-7.7977870122865917E-2</v>
      </c>
    </row>
    <row r="337" spans="1:10" x14ac:dyDescent="0.25">
      <c r="A337" s="6">
        <v>44945</v>
      </c>
      <c r="B337">
        <f>(Prices!B923/Prices!B922)-1</f>
        <v>-2.0722577845285861E-2</v>
      </c>
      <c r="C337">
        <f>(Prices!C923/Prices!C922)-1</f>
        <v>1.6704429339375215E-2</v>
      </c>
      <c r="D337">
        <f>(Prices!D923/Prices!D922)-1</f>
        <v>-6.2988926140404855E-3</v>
      </c>
      <c r="E337">
        <f>(Prices!E923/Prices!E922)-1</f>
        <v>1.3514600595285975E-2</v>
      </c>
      <c r="F337">
        <f>(Prices!F923/Prices!F922)-1</f>
        <v>-1.6768970732141231E-2</v>
      </c>
      <c r="G337">
        <f t="shared" si="20"/>
        <v>-2.7142822513612779E-3</v>
      </c>
      <c r="H337" s="8">
        <f t="shared" si="23"/>
        <v>981219.41157705465</v>
      </c>
      <c r="I337" s="8">
        <f t="shared" si="21"/>
        <v>1067100.1647020529</v>
      </c>
      <c r="J337" s="13">
        <f t="shared" si="22"/>
        <v>-8.048049842535375E-2</v>
      </c>
    </row>
    <row r="338" spans="1:10" x14ac:dyDescent="0.25">
      <c r="A338" s="5">
        <v>44946</v>
      </c>
      <c r="B338">
        <f>(Prices!B922/Prices!B921)-1</f>
        <v>-5.0772399588053463E-2</v>
      </c>
      <c r="C338">
        <f>(Prices!C922/Prices!C921)-1</f>
        <v>-3.4487195985072661E-2</v>
      </c>
      <c r="D338">
        <f>(Prices!D922/Prices!D921)-1</f>
        <v>-1.7958695001496494E-2</v>
      </c>
      <c r="E338">
        <f>(Prices!E922/Prices!E921)-1</f>
        <v>-2.4075114356792993E-3</v>
      </c>
      <c r="F338">
        <f>(Prices!F922/Prices!F921)-1</f>
        <v>-4.8469557134320773E-3</v>
      </c>
      <c r="G338">
        <f t="shared" si="20"/>
        <v>-2.2094551544746797E-2</v>
      </c>
      <c r="H338" s="8">
        <f t="shared" si="23"/>
        <v>959539.80871125928</v>
      </c>
      <c r="I338" s="8">
        <f t="shared" si="21"/>
        <v>1067100.1647020529</v>
      </c>
      <c r="J338" s="13">
        <f t="shared" si="22"/>
        <v>-0.10079686944929467</v>
      </c>
    </row>
    <row r="339" spans="1:10" x14ac:dyDescent="0.25">
      <c r="A339" s="6">
        <v>44949</v>
      </c>
      <c r="B339">
        <f>(Prices!B921/Prices!B920)-1</f>
        <v>-1.7703591299949473E-2</v>
      </c>
      <c r="C339">
        <f>(Prices!C921/Prices!C920)-1</f>
        <v>-9.7272958966951872E-3</v>
      </c>
      <c r="D339">
        <f>(Prices!D921/Prices!D920)-1</f>
        <v>5.2151238591917615E-3</v>
      </c>
      <c r="E339">
        <f>(Prices!E921/Prices!E920)-1</f>
        <v>-1.5951986101239823E-2</v>
      </c>
      <c r="F339">
        <f>(Prices!F921/Prices!F920)-1</f>
        <v>1.8847842476383825E-3</v>
      </c>
      <c r="G339">
        <f t="shared" si="20"/>
        <v>-7.2565930382108689E-3</v>
      </c>
      <c r="H339" s="8">
        <f t="shared" si="23"/>
        <v>952576.81881547894</v>
      </c>
      <c r="I339" s="8">
        <f t="shared" si="21"/>
        <v>1067100.1647020529</v>
      </c>
      <c r="J339" s="13">
        <f t="shared" si="22"/>
        <v>-0.10732202062638636</v>
      </c>
    </row>
    <row r="340" spans="1:10" x14ac:dyDescent="0.25">
      <c r="A340" s="5">
        <v>44950</v>
      </c>
      <c r="B340">
        <f>(Prices!B920/Prices!B919)-1</f>
        <v>2.1388716676999264E-2</v>
      </c>
      <c r="C340">
        <f>(Prices!C920/Prices!C919)-1</f>
        <v>2.2137079608344212E-3</v>
      </c>
      <c r="D340">
        <f>(Prices!D920/Prices!D919)-1</f>
        <v>-9.2408585055644421E-3</v>
      </c>
      <c r="E340">
        <f>(Prices!E920/Prices!E919)-1</f>
        <v>-8.5342937676167185E-3</v>
      </c>
      <c r="F340">
        <f>(Prices!F920/Prices!F919)-1</f>
        <v>-1.178893855727936E-2</v>
      </c>
      <c r="G340">
        <f t="shared" si="20"/>
        <v>-1.1923332385253668E-3</v>
      </c>
      <c r="H340" s="8">
        <f t="shared" si="23"/>
        <v>951441.02981215646</v>
      </c>
      <c r="I340" s="8">
        <f t="shared" si="21"/>
        <v>1067100.1647020529</v>
      </c>
      <c r="J340" s="13">
        <f t="shared" si="22"/>
        <v>-0.10838639025249321</v>
      </c>
    </row>
    <row r="341" spans="1:10" x14ac:dyDescent="0.25">
      <c r="A341" s="6">
        <v>44951</v>
      </c>
      <c r="B341">
        <f>(Prices!B919/Prices!B918)-1</f>
        <v>2.6081424936386766E-2</v>
      </c>
      <c r="C341">
        <f>(Prices!C919/Prices!C918)-1</f>
        <v>5.9526358614192532E-3</v>
      </c>
      <c r="D341">
        <f>(Prices!D919/Prices!D918)-1</f>
        <v>5.2941764059535323E-3</v>
      </c>
      <c r="E341">
        <f>(Prices!E919/Prices!E918)-1</f>
        <v>-4.8309178743961567E-3</v>
      </c>
      <c r="F341">
        <f>(Prices!F919/Prices!F918)-1</f>
        <v>-1.8154377829785462E-3</v>
      </c>
      <c r="G341">
        <f t="shared" si="20"/>
        <v>6.1363763092769693E-3</v>
      </c>
      <c r="H341" s="8">
        <f t="shared" si="23"/>
        <v>957279.43000716984</v>
      </c>
      <c r="I341" s="8">
        <f t="shared" si="21"/>
        <v>1067100.1647020529</v>
      </c>
      <c r="J341" s="13">
        <f t="shared" si="22"/>
        <v>-0.10291511362060971</v>
      </c>
    </row>
    <row r="342" spans="1:10" x14ac:dyDescent="0.25">
      <c r="A342" s="5">
        <v>44952</v>
      </c>
      <c r="B342">
        <f>(Prices!B918/Prices!B917)-1</f>
        <v>-2.3602484472049712E-2</v>
      </c>
      <c r="C342">
        <f>(Prices!C918/Prices!C917)-1</f>
        <v>-2.9790593318929748E-2</v>
      </c>
      <c r="D342">
        <f>(Prices!D918/Prices!D917)-1</f>
        <v>-3.8605589167386878E-2</v>
      </c>
      <c r="E342">
        <f>(Prices!E918/Prices!E917)-1</f>
        <v>-6.1178657167195727E-3</v>
      </c>
      <c r="F342">
        <f>(Prices!F918/Prices!F917)-1</f>
        <v>2.1873222800561365E-5</v>
      </c>
      <c r="G342">
        <f t="shared" si="20"/>
        <v>-1.9618931890457072E-2</v>
      </c>
      <c r="H342" s="8">
        <f t="shared" si="23"/>
        <v>938498.63006972359</v>
      </c>
      <c r="I342" s="8">
        <f t="shared" si="21"/>
        <v>1067100.1647020529</v>
      </c>
      <c r="J342" s="13">
        <f t="shared" si="22"/>
        <v>-0.12051496090644541</v>
      </c>
    </row>
    <row r="343" spans="1:10" x14ac:dyDescent="0.25">
      <c r="A343" s="6">
        <v>44953</v>
      </c>
      <c r="B343">
        <f>(Prices!B917/Prices!B916)-1</f>
        <v>-1.859189271563555E-2</v>
      </c>
      <c r="C343">
        <f>(Prices!C917/Prices!C916)-1</f>
        <v>-6.6434147151639422E-4</v>
      </c>
      <c r="D343">
        <f>(Prices!D917/Prices!D916)-1</f>
        <v>1.8585542404382149E-2</v>
      </c>
      <c r="E343">
        <f>(Prices!E917/Prices!E916)-1</f>
        <v>-2.4719969100037709E-3</v>
      </c>
      <c r="F343">
        <f>(Prices!F917/Prices!F916)-1</f>
        <v>1.3231089736486457E-2</v>
      </c>
      <c r="G343">
        <f t="shared" si="20"/>
        <v>2.0176802087425783E-3</v>
      </c>
      <c r="H343" s="8">
        <f t="shared" si="23"/>
        <v>940392.22018154734</v>
      </c>
      <c r="I343" s="8">
        <f t="shared" si="21"/>
        <v>1067100.1647020529</v>
      </c>
      <c r="J343" s="13">
        <f t="shared" si="22"/>
        <v>-0.1187404413491811</v>
      </c>
    </row>
    <row r="344" spans="1:10" x14ac:dyDescent="0.25">
      <c r="A344" s="5">
        <v>44956</v>
      </c>
      <c r="B344">
        <f>(Prices!B916/Prices!B915)-1</f>
        <v>2.4992189940643561E-2</v>
      </c>
      <c r="C344">
        <f>(Prices!C916/Prices!C915)-1</f>
        <v>2.245807684143486E-2</v>
      </c>
      <c r="D344">
        <f>(Prices!D916/Prices!D915)-1</f>
        <v>1.8125684692759769E-2</v>
      </c>
      <c r="E344">
        <f>(Prices!E916/Prices!E915)-1</f>
        <v>8.5703155434357914E-3</v>
      </c>
      <c r="F344">
        <f>(Prices!F916/Prices!F915)-1</f>
        <v>5.3218617646400013E-4</v>
      </c>
      <c r="G344">
        <f t="shared" si="20"/>
        <v>1.4935690638947596E-2</v>
      </c>
      <c r="H344" s="8">
        <f t="shared" si="23"/>
        <v>954437.62746145192</v>
      </c>
      <c r="I344" s="8">
        <f t="shared" si="21"/>
        <v>1067100.1647020529</v>
      </c>
      <c r="J344" s="13">
        <f t="shared" si="22"/>
        <v>-0.10557822120855707</v>
      </c>
    </row>
    <row r="345" spans="1:10" x14ac:dyDescent="0.25">
      <c r="A345" s="6">
        <v>44957</v>
      </c>
      <c r="B345">
        <f>(Prices!B915/Prices!B914)-1</f>
        <v>-1.9201307323051697E-2</v>
      </c>
      <c r="C345">
        <f>(Prices!C915/Prices!C914)-1</f>
        <v>-2.05821205821205E-2</v>
      </c>
      <c r="D345">
        <f>(Prices!D915/Prices!D914)-1</f>
        <v>-2.1154221095730175E-2</v>
      </c>
      <c r="E345">
        <f>(Prices!E915/Prices!E914)-1</f>
        <v>-5.8864534118194811E-3</v>
      </c>
      <c r="F345">
        <f>(Prices!F915/Prices!F914)-1</f>
        <v>-2.6844478971105534E-2</v>
      </c>
      <c r="G345">
        <f t="shared" si="20"/>
        <v>-1.8733716276765476E-2</v>
      </c>
      <c r="H345" s="8">
        <f t="shared" si="23"/>
        <v>936557.46374471986</v>
      </c>
      <c r="I345" s="8">
        <f t="shared" si="21"/>
        <v>1067100.1647020529</v>
      </c>
      <c r="J345" s="13">
        <f t="shared" si="22"/>
        <v>-0.12233406504419589</v>
      </c>
    </row>
    <row r="346" spans="1:10" x14ac:dyDescent="0.25">
      <c r="A346" s="5">
        <v>44958</v>
      </c>
      <c r="B346">
        <f>(Prices!B914/Prices!B913)-1</f>
        <v>-1.5782066747084933E-2</v>
      </c>
      <c r="C346">
        <f>(Prices!C914/Prices!C913)-1</f>
        <v>-1.9527905744221141E-2</v>
      </c>
      <c r="D346">
        <f>(Prices!D914/Prices!D913)-1</f>
        <v>1.1038833037650297E-2</v>
      </c>
      <c r="E346">
        <f>(Prices!E914/Prices!E913)-1</f>
        <v>2.6403665450027702E-3</v>
      </c>
      <c r="F346">
        <f>(Prices!F914/Prices!F913)-1</f>
        <v>4.4216138890695866E-3</v>
      </c>
      <c r="G346">
        <f t="shared" si="20"/>
        <v>-3.4418318039166852E-3</v>
      </c>
      <c r="H346" s="8">
        <f t="shared" si="23"/>
        <v>933333.99047980772</v>
      </c>
      <c r="I346" s="8">
        <f t="shared" si="21"/>
        <v>1067100.1647020529</v>
      </c>
      <c r="J346" s="13">
        <f t="shared" si="22"/>
        <v>-0.12535484357234106</v>
      </c>
    </row>
    <row r="347" spans="1:10" x14ac:dyDescent="0.25">
      <c r="A347" s="6">
        <v>44959</v>
      </c>
      <c r="B347">
        <f>(Prices!B913/Prices!B912)-1</f>
        <v>-6.7841079460269849E-2</v>
      </c>
      <c r="C347">
        <f>(Prices!C913/Prices!C912)-1</f>
        <v>-4.4783675376767085E-2</v>
      </c>
      <c r="D347">
        <f>(Prices!D913/Prices!D912)-1</f>
        <v>3.2356532356532242E-2</v>
      </c>
      <c r="E347">
        <f>(Prices!E913/Prices!E912)-1</f>
        <v>4.6812826714521805E-3</v>
      </c>
      <c r="F347">
        <f>(Prices!F913/Prices!F912)-1</f>
        <v>5.5573350416399769E-2</v>
      </c>
      <c r="G347">
        <f t="shared" si="20"/>
        <v>-4.0027178785305463E-3</v>
      </c>
      <c r="H347" s="8">
        <f t="shared" si="23"/>
        <v>929598.11782947392</v>
      </c>
      <c r="I347" s="8">
        <f t="shared" si="21"/>
        <v>1067100.1647020529</v>
      </c>
      <c r="J347" s="13">
        <f t="shared" si="22"/>
        <v>-0.1288558013773442</v>
      </c>
    </row>
    <row r="348" spans="1:10" x14ac:dyDescent="0.25">
      <c r="A348" s="5">
        <v>44960</v>
      </c>
      <c r="B348">
        <f>(Prices!B912/Prices!B911)-1</f>
        <v>2.8230079969168376E-2</v>
      </c>
      <c r="C348">
        <f>(Prices!C912/Prices!C911)-1</f>
        <v>2.4169425278187884E-2</v>
      </c>
      <c r="D348">
        <f>(Prices!D912/Prices!D911)-1</f>
        <v>-6.8714632174615708E-3</v>
      </c>
      <c r="E348">
        <f>(Prices!E912/Prices!E911)-1</f>
        <v>-1.528887523048561E-2</v>
      </c>
      <c r="F348">
        <f>(Prices!F912/Prices!F911)-1</f>
        <v>-2.5103838605139428E-3</v>
      </c>
      <c r="G348">
        <f t="shared" si="20"/>
        <v>5.5457565877790284E-3</v>
      </c>
      <c r="H348" s="8">
        <f t="shared" si="23"/>
        <v>934753.44271541364</v>
      </c>
      <c r="I348" s="8">
        <f t="shared" si="21"/>
        <v>1067100.1647020529</v>
      </c>
      <c r="J348" s="13">
        <f t="shared" si="22"/>
        <v>-0.12402464769892721</v>
      </c>
    </row>
    <row r="349" spans="1:10" x14ac:dyDescent="0.25">
      <c r="A349" s="6">
        <v>44963</v>
      </c>
      <c r="B349">
        <f>(Prices!B911/Prices!B910)-1</f>
        <v>1.8247817129402488E-2</v>
      </c>
      <c r="C349">
        <f>(Prices!C911/Prices!C910)-1</f>
        <v>6.1800232754123385E-3</v>
      </c>
      <c r="D349">
        <f>(Prices!D911/Prices!D910)-1</f>
        <v>1.6194331983805377E-3</v>
      </c>
      <c r="E349">
        <f>(Prices!E911/Prices!E910)-1</f>
        <v>-5.8050717995722367E-3</v>
      </c>
      <c r="F349">
        <f>(Prices!F911/Prices!F910)-1</f>
        <v>-6.7774327356801001E-3</v>
      </c>
      <c r="G349">
        <f t="shared" si="20"/>
        <v>2.6929538135886059E-3</v>
      </c>
      <c r="H349" s="8">
        <f t="shared" si="23"/>
        <v>937270.69056373928</v>
      </c>
      <c r="I349" s="8">
        <f t="shared" si="21"/>
        <v>1067100.1647020529</v>
      </c>
      <c r="J349" s="13">
        <f t="shared" si="22"/>
        <v>-0.12166568653333833</v>
      </c>
    </row>
    <row r="350" spans="1:10" x14ac:dyDescent="0.25">
      <c r="A350" s="5">
        <v>44964</v>
      </c>
      <c r="B350">
        <f>(Prices!B910/Prices!B909)-1</f>
        <v>-4.4077651692769337E-2</v>
      </c>
      <c r="C350">
        <f>(Prices!C910/Prices!C909)-1</f>
        <v>-4.0321959485481118E-2</v>
      </c>
      <c r="D350">
        <f>(Prices!D910/Prices!D909)-1</f>
        <v>-2.7750442826215416E-2</v>
      </c>
      <c r="E350">
        <f>(Prices!E910/Prices!E909)-1</f>
        <v>-1.207364926048915E-2</v>
      </c>
      <c r="F350">
        <f>(Prices!F910/Prices!F909)-1</f>
        <v>-3.4335539542342808E-3</v>
      </c>
      <c r="G350">
        <f t="shared" si="20"/>
        <v>-2.5531451443837862E-2</v>
      </c>
      <c r="H350" s="8">
        <f t="shared" si="23"/>
        <v>913340.80943787878</v>
      </c>
      <c r="I350" s="8">
        <f t="shared" si="21"/>
        <v>1067100.1647020529</v>
      </c>
      <c r="J350" s="13">
        <f t="shared" si="22"/>
        <v>-0.14409083640906906</v>
      </c>
    </row>
    <row r="351" spans="1:10" x14ac:dyDescent="0.25">
      <c r="A351" s="6">
        <v>44965</v>
      </c>
      <c r="B351">
        <f>(Prices!B909/Prices!B908)-1</f>
        <v>8.330793457279273E-2</v>
      </c>
      <c r="C351">
        <f>(Prices!C909/Prices!C908)-1</f>
        <v>3.0904736150816348E-3</v>
      </c>
      <c r="D351">
        <f>(Prices!D909/Prices!D908)-1</f>
        <v>8.835500843839883E-3</v>
      </c>
      <c r="E351">
        <f>(Prices!E909/Prices!E908)-1</f>
        <v>7.0674063378677321E-3</v>
      </c>
      <c r="F351">
        <f>(Prices!F909/Prices!F908)-1</f>
        <v>-1.3130322350528356E-2</v>
      </c>
      <c r="G351">
        <f t="shared" si="20"/>
        <v>1.7834198603810726E-2</v>
      </c>
      <c r="H351" s="8">
        <f t="shared" si="23"/>
        <v>929629.51082635904</v>
      </c>
      <c r="I351" s="8">
        <f t="shared" si="21"/>
        <v>1067100.1647020529</v>
      </c>
      <c r="J351" s="13">
        <f t="shared" si="22"/>
        <v>-0.12882638239876698</v>
      </c>
    </row>
    <row r="352" spans="1:10" x14ac:dyDescent="0.25">
      <c r="A352" s="5">
        <v>44966</v>
      </c>
      <c r="B352">
        <f>(Prices!B908/Prices!B907)-1</f>
        <v>4.5903729678036465E-2</v>
      </c>
      <c r="C352">
        <f>(Prices!C908/Prices!C907)-1</f>
        <v>1.1804252657911185E-2</v>
      </c>
      <c r="D352">
        <f>(Prices!D908/Prices!D907)-1</f>
        <v>-3.7582830580555893E-3</v>
      </c>
      <c r="E352">
        <f>(Prices!E908/Prices!E907)-1</f>
        <v>1.5825227728886837E-2</v>
      </c>
      <c r="F352">
        <f>(Prices!F908/Prices!F907)-1</f>
        <v>-5.1673282916768759E-3</v>
      </c>
      <c r="G352">
        <f t="shared" si="20"/>
        <v>1.2921519743020407E-2</v>
      </c>
      <c r="H352" s="8">
        <f t="shared" si="23"/>
        <v>941641.73690419621</v>
      </c>
      <c r="I352" s="8">
        <f t="shared" si="21"/>
        <v>1067100.1647020529</v>
      </c>
      <c r="J352" s="13">
        <f t="shared" si="22"/>
        <v>-0.11756949529933418</v>
      </c>
    </row>
    <row r="353" spans="1:10" x14ac:dyDescent="0.25">
      <c r="A353" s="6">
        <v>44967</v>
      </c>
      <c r="B353">
        <f>(Prices!B907/Prices!B906)-1</f>
        <v>4.5900939368059834E-3</v>
      </c>
      <c r="C353">
        <f>(Prices!C907/Prices!C906)-1</f>
        <v>1.9581734158378161E-3</v>
      </c>
      <c r="D353">
        <f>(Prices!D907/Prices!D906)-1</f>
        <v>-4.0520022774719999E-2</v>
      </c>
      <c r="E353">
        <f>(Prices!E907/Prices!E906)-1</f>
        <v>-4.3809084620707317E-3</v>
      </c>
      <c r="F353">
        <f>(Prices!F907/Prices!F906)-1</f>
        <v>-1.7239876204175886E-2</v>
      </c>
      <c r="G353">
        <f t="shared" si="20"/>
        <v>-1.1118508017664563E-2</v>
      </c>
      <c r="H353" s="8">
        <f t="shared" si="23"/>
        <v>931172.08570265933</v>
      </c>
      <c r="I353" s="8">
        <f t="shared" si="21"/>
        <v>1067100.1647020529</v>
      </c>
      <c r="J353" s="13">
        <f t="shared" si="22"/>
        <v>-0.1273808059408803</v>
      </c>
    </row>
    <row r="354" spans="1:10" x14ac:dyDescent="0.25">
      <c r="A354" s="5">
        <v>44970</v>
      </c>
      <c r="B354">
        <f>(Prices!B906/Prices!B905)-1</f>
        <v>-4.2680324370458766E-4</v>
      </c>
      <c r="C354">
        <f>(Prices!C906/Prices!C905)-1</f>
        <v>-3.0268504804223162E-2</v>
      </c>
      <c r="D354">
        <f>(Prices!D906/Prices!D905)-1</f>
        <v>3.9058778698675134E-3</v>
      </c>
      <c r="E354">
        <f>(Prices!E906/Prices!E905)-1</f>
        <v>-1.0720802919708006E-2</v>
      </c>
      <c r="F354">
        <f>(Prices!F906/Prices!F905)-1</f>
        <v>-2.218162839248361E-3</v>
      </c>
      <c r="G354">
        <f t="shared" si="20"/>
        <v>-7.9456791874033209E-3</v>
      </c>
      <c r="H354" s="8">
        <f t="shared" si="23"/>
        <v>923773.29104140075</v>
      </c>
      <c r="I354" s="8">
        <f t="shared" si="21"/>
        <v>1067100.1647020529</v>
      </c>
      <c r="J354" s="13">
        <f t="shared" si="22"/>
        <v>-0.13431435810964454</v>
      </c>
    </row>
    <row r="355" spans="1:10" x14ac:dyDescent="0.25">
      <c r="A355" s="6">
        <v>44971</v>
      </c>
      <c r="B355">
        <f>(Prices!B905/Prices!B904)-1</f>
        <v>-7.4634822475749818E-4</v>
      </c>
      <c r="C355">
        <f>(Prices!C905/Prices!C904)-1</f>
        <v>-3.1422730370257446E-3</v>
      </c>
      <c r="D355">
        <f>(Prices!D905/Prices!D904)-1</f>
        <v>1.1856564488143428E-2</v>
      </c>
      <c r="E355">
        <f>(Prices!E905/Prices!E904)-1</f>
        <v>-4.3906131718394192E-3</v>
      </c>
      <c r="F355">
        <f>(Prices!F905/Prices!F904)-1</f>
        <v>5.1147540983607076E-3</v>
      </c>
      <c r="G355">
        <f t="shared" si="20"/>
        <v>1.7384168305762948E-3</v>
      </c>
      <c r="H355" s="8">
        <f t="shared" si="23"/>
        <v>925379.19407818397</v>
      </c>
      <c r="I355" s="8">
        <f t="shared" si="21"/>
        <v>1067100.1647020529</v>
      </c>
      <c r="J355" s="13">
        <f t="shared" si="22"/>
        <v>-0.13280943561979411</v>
      </c>
    </row>
    <row r="356" spans="1:10" x14ac:dyDescent="0.25">
      <c r="A356" s="5">
        <v>44972</v>
      </c>
      <c r="B356">
        <f>(Prices!B904/Prices!B903)-1</f>
        <v>-2.3326043944600583E-2</v>
      </c>
      <c r="C356">
        <f>(Prices!C904/Prices!C903)-1</f>
        <v>8.0525130710225046E-3</v>
      </c>
      <c r="D356">
        <f>(Prices!D904/Prices!D903)-1</f>
        <v>3.0941790756140453E-3</v>
      </c>
      <c r="E356">
        <f>(Prices!E904/Prices!E903)-1</f>
        <v>-4.2213176541534558E-3</v>
      </c>
      <c r="F356">
        <f>(Prices!F904/Prices!F903)-1</f>
        <v>3.2234721399908572E-3</v>
      </c>
      <c r="G356">
        <f t="shared" si="20"/>
        <v>-2.6354394624253257E-3</v>
      </c>
      <c r="H356" s="8">
        <f t="shared" si="23"/>
        <v>922940.41323240299</v>
      </c>
      <c r="I356" s="8">
        <f t="shared" si="21"/>
        <v>1067100.1647020529</v>
      </c>
      <c r="J356" s="13">
        <f t="shared" si="22"/>
        <v>-0.13509486385460456</v>
      </c>
    </row>
    <row r="357" spans="1:10" x14ac:dyDescent="0.25">
      <c r="A357" s="6">
        <v>44973</v>
      </c>
      <c r="B357">
        <f>(Prices!B903/Prices!B902)-1</f>
        <v>1.5008984251136281E-2</v>
      </c>
      <c r="C357">
        <f>(Prices!C903/Prices!C902)-1</f>
        <v>2.7367182905312593E-2</v>
      </c>
      <c r="D357">
        <f>(Prices!D903/Prices!D902)-1</f>
        <v>2.9092319627617158E-3</v>
      </c>
      <c r="E357">
        <f>(Prices!E903/Prices!E902)-1</f>
        <v>1.3987617518917528E-2</v>
      </c>
      <c r="F357">
        <f>(Prices!F903/Prices!F902)-1</f>
        <v>8.001591476757719E-3</v>
      </c>
      <c r="G357">
        <f t="shared" si="20"/>
        <v>1.3454921622977168E-2</v>
      </c>
      <c r="H357" s="8">
        <f t="shared" si="23"/>
        <v>935358.50415512314</v>
      </c>
      <c r="I357" s="8">
        <f t="shared" si="21"/>
        <v>1067100.1647020529</v>
      </c>
      <c r="J357" s="13">
        <f t="shared" si="22"/>
        <v>-0.12345763303645788</v>
      </c>
    </row>
    <row r="358" spans="1:10" x14ac:dyDescent="0.25">
      <c r="A358" s="5">
        <v>44974</v>
      </c>
      <c r="B358">
        <f>(Prices!B902/Prices!B901)-1</f>
        <v>1.2304729295955497E-2</v>
      </c>
      <c r="C358">
        <f>(Prices!C902/Prices!C901)-1</f>
        <v>1.5852152786075768E-2</v>
      </c>
      <c r="D358">
        <f>(Prices!D902/Prices!D901)-1</f>
        <v>3.9935457845905686E-2</v>
      </c>
      <c r="E358">
        <f>(Prices!E902/Prices!E901)-1</f>
        <v>-2.9721079103793846E-3</v>
      </c>
      <c r="F358">
        <f>(Prices!F902/Prices!F901)-1</f>
        <v>-2.3505288150226566E-2</v>
      </c>
      <c r="G358">
        <f t="shared" si="20"/>
        <v>8.3229887734662007E-3</v>
      </c>
      <c r="H358" s="8">
        <f t="shared" si="23"/>
        <v>943143.48248437233</v>
      </c>
      <c r="I358" s="8">
        <f t="shared" si="21"/>
        <v>1067100.1647020529</v>
      </c>
      <c r="J358" s="13">
        <f t="shared" si="22"/>
        <v>-0.11616218075675286</v>
      </c>
    </row>
    <row r="359" spans="1:10" x14ac:dyDescent="0.25">
      <c r="A359" s="6">
        <v>44978</v>
      </c>
      <c r="B359">
        <f>(Prices!B901/Prices!B900)-1</f>
        <v>2.7936647602287534E-2</v>
      </c>
      <c r="C359">
        <f>(Prices!C901/Prices!C900)-1</f>
        <v>2.1315543261603453E-2</v>
      </c>
      <c r="D359">
        <f>(Prices!D901/Prices!D900)-1</f>
        <v>1.0094891984655519E-3</v>
      </c>
      <c r="E359">
        <f>(Prices!E901/Prices!E900)-1</f>
        <v>1.8709727505628493E-2</v>
      </c>
      <c r="F359">
        <f>(Prices!F901/Prices!F900)-1</f>
        <v>1.5808283452827476E-2</v>
      </c>
      <c r="G359">
        <f t="shared" si="20"/>
        <v>1.69559382041625E-2</v>
      </c>
      <c r="H359" s="8">
        <f t="shared" si="23"/>
        <v>959135.36509103584</v>
      </c>
      <c r="I359" s="8">
        <f t="shared" si="21"/>
        <v>1067100.1647020529</v>
      </c>
      <c r="J359" s="13">
        <f t="shared" si="22"/>
        <v>-0.10117588131116273</v>
      </c>
    </row>
    <row r="360" spans="1:10" x14ac:dyDescent="0.25">
      <c r="A360" s="5">
        <v>44979</v>
      </c>
      <c r="B360">
        <f>(Prices!B900/Prices!B899)-1</f>
        <v>1.4318757572420182E-3</v>
      </c>
      <c r="C360">
        <f>(Prices!C900/Prices!C899)-1</f>
        <v>4.6178994687373631E-3</v>
      </c>
      <c r="D360">
        <f>(Prices!D900/Prices!D899)-1</f>
        <v>1.3194231359312747E-2</v>
      </c>
      <c r="E360">
        <f>(Prices!E900/Prices!E899)-1</f>
        <v>7.7452667814115195E-3</v>
      </c>
      <c r="F360">
        <f>(Prices!F900/Prices!F899)-1</f>
        <v>4.9576943416183017E-3</v>
      </c>
      <c r="G360">
        <f t="shared" si="20"/>
        <v>6.3893935416643906E-3</v>
      </c>
      <c r="H360" s="8">
        <f t="shared" si="23"/>
        <v>965263.65839833033</v>
      </c>
      <c r="I360" s="8">
        <f t="shared" si="21"/>
        <v>1067100.1647020529</v>
      </c>
      <c r="J360" s="13">
        <f t="shared" si="22"/>
        <v>-9.5432940292120169E-2</v>
      </c>
    </row>
    <row r="361" spans="1:10" x14ac:dyDescent="0.25">
      <c r="A361" s="6">
        <v>44980</v>
      </c>
      <c r="B361">
        <f>(Prices!B899/Prices!B898)-1</f>
        <v>8.4416305675887315E-3</v>
      </c>
      <c r="C361">
        <f>(Prices!C899/Prices!C898)-1</f>
        <v>-1.2788961955863987E-2</v>
      </c>
      <c r="D361">
        <f>(Prices!D899/Prices!D898)-1</f>
        <v>-9.1213134691395803E-3</v>
      </c>
      <c r="E361">
        <f>(Prices!E899/Prices!E898)-1</f>
        <v>-7.993791230112568E-3</v>
      </c>
      <c r="F361">
        <f>(Prices!F899/Prices!F898)-1</f>
        <v>-5.6962579966699511E-3</v>
      </c>
      <c r="G361">
        <f t="shared" si="20"/>
        <v>-5.4317388168394713E-3</v>
      </c>
      <c r="H361" s="8">
        <f t="shared" si="23"/>
        <v>960020.59831652371</v>
      </c>
      <c r="I361" s="8">
        <f t="shared" si="21"/>
        <v>1067100.1647020529</v>
      </c>
      <c r="J361" s="13">
        <f t="shared" si="22"/>
        <v>-0.10034631230276975</v>
      </c>
    </row>
    <row r="362" spans="1:10" x14ac:dyDescent="0.25">
      <c r="A362" s="5">
        <v>44981</v>
      </c>
      <c r="B362">
        <f>(Prices!B898/Prices!B897)-1</f>
        <v>1.9707781175670958E-2</v>
      </c>
      <c r="C362">
        <f>(Prices!C898/Prices!C897)-1</f>
        <v>2.227079638718199E-2</v>
      </c>
      <c r="D362">
        <f>(Prices!D898/Prices!D897)-1</f>
        <v>-1.0133765707343034E-4</v>
      </c>
      <c r="E362">
        <f>(Prices!E898/Prices!E897)-1</f>
        <v>-8.9223905853396124E-3</v>
      </c>
      <c r="F362">
        <f>(Prices!F898/Prices!F897)-1</f>
        <v>1.519094326193815E-2</v>
      </c>
      <c r="G362">
        <f t="shared" si="20"/>
        <v>9.6291585164756128E-3</v>
      </c>
      <c r="H362" s="8">
        <f t="shared" si="23"/>
        <v>969264.78883679525</v>
      </c>
      <c r="I362" s="8">
        <f t="shared" si="21"/>
        <v>1067100.1647020529</v>
      </c>
      <c r="J362" s="13">
        <f t="shared" si="22"/>
        <v>-9.1683404334001295E-2</v>
      </c>
    </row>
    <row r="363" spans="1:10" x14ac:dyDescent="0.25">
      <c r="A363" s="6">
        <v>44984</v>
      </c>
      <c r="B363">
        <f>(Prices!B897/Prices!B896)-1</f>
        <v>-8.2004044035046686E-3</v>
      </c>
      <c r="C363">
        <f>(Prices!C897/Prices!C896)-1</f>
        <v>-3.7799416574222366E-3</v>
      </c>
      <c r="D363">
        <f>(Prices!D897/Prices!D896)-1</f>
        <v>1.7257131255710156E-3</v>
      </c>
      <c r="E363">
        <f>(Prices!E897/Prices!E896)-1</f>
        <v>-8.6167454628640616E-3</v>
      </c>
      <c r="F363">
        <f>(Prices!F897/Prices!F896)-1</f>
        <v>2.0950810172286616E-3</v>
      </c>
      <c r="G363">
        <f t="shared" si="20"/>
        <v>-3.3552594761982577E-3</v>
      </c>
      <c r="H363" s="8">
        <f t="shared" si="23"/>
        <v>966012.65396910522</v>
      </c>
      <c r="I363" s="8">
        <f t="shared" si="21"/>
        <v>1067100.1647020529</v>
      </c>
      <c r="J363" s="13">
        <f t="shared" si="22"/>
        <v>-9.4731042198997847E-2</v>
      </c>
    </row>
    <row r="364" spans="1:10" x14ac:dyDescent="0.25">
      <c r="A364" s="5">
        <v>44985</v>
      </c>
      <c r="B364">
        <f>(Prices!B896/Prices!B895)-1</f>
        <v>-2.1298060755520209E-3</v>
      </c>
      <c r="C364">
        <f>(Prices!C896/Prices!C895)-1</f>
        <v>2.9669922116455361E-3</v>
      </c>
      <c r="D364">
        <f>(Prices!D896/Prices!D895)-1</f>
        <v>5.819889728405192E-3</v>
      </c>
      <c r="E364">
        <f>(Prices!E896/Prices!E895)-1</f>
        <v>-8.318209316394598E-3</v>
      </c>
      <c r="F364">
        <f>(Prices!F896/Prices!F895)-1</f>
        <v>1.5504051423656851E-2</v>
      </c>
      <c r="G364">
        <f t="shared" si="20"/>
        <v>2.7685835943521923E-3</v>
      </c>
      <c r="H364" s="8">
        <f t="shared" si="23"/>
        <v>968687.14075482078</v>
      </c>
      <c r="I364" s="8">
        <f t="shared" si="21"/>
        <v>1067100.1647020529</v>
      </c>
      <c r="J364" s="13">
        <f t="shared" si="22"/>
        <v>-9.2224729413953613E-2</v>
      </c>
    </row>
    <row r="365" spans="1:10" x14ac:dyDescent="0.25">
      <c r="A365" s="6">
        <v>44986</v>
      </c>
      <c r="B365">
        <f>(Prices!B895/Prices!B894)-1</f>
        <v>-3.351580828957812E-3</v>
      </c>
      <c r="C365">
        <f>(Prices!C895/Prices!C894)-1</f>
        <v>1.2813021702837935E-2</v>
      </c>
      <c r="D365">
        <f>(Prices!D895/Prices!D894)-1</f>
        <v>-8.8047768444490249E-3</v>
      </c>
      <c r="E365">
        <f>(Prices!E895/Prices!E894)-1</f>
        <v>5.6273764258556458E-3</v>
      </c>
      <c r="F365">
        <f>(Prices!F895/Prices!F894)-1</f>
        <v>1.5187577921342843E-3</v>
      </c>
      <c r="G365">
        <f t="shared" si="20"/>
        <v>1.5605596494842058E-3</v>
      </c>
      <c r="H365" s="8">
        <f t="shared" si="23"/>
        <v>970198.83481965703</v>
      </c>
      <c r="I365" s="8">
        <f t="shared" si="21"/>
        <v>1067100.1647020529</v>
      </c>
      <c r="J365" s="13">
        <f t="shared" si="22"/>
        <v>-9.0808091955877385E-2</v>
      </c>
    </row>
    <row r="366" spans="1:10" x14ac:dyDescent="0.25">
      <c r="A366" s="5">
        <v>44987</v>
      </c>
      <c r="B366">
        <f>(Prices!B894/Prices!B893)-1</f>
        <v>-1.7776802370240263E-2</v>
      </c>
      <c r="C366">
        <f>(Prices!C894/Prices!C893)-1</f>
        <v>-1.9278785150014355E-2</v>
      </c>
      <c r="D366">
        <f>(Prices!D894/Prices!D893)-1</f>
        <v>-4.5335482571026153E-3</v>
      </c>
      <c r="E366">
        <f>(Prices!E894/Prices!E893)-1</f>
        <v>1.0450284309205582E-2</v>
      </c>
      <c r="F366">
        <f>(Prices!F894/Prices!F893)-1</f>
        <v>-5.2090380192125751E-3</v>
      </c>
      <c r="G366">
        <f t="shared" si="20"/>
        <v>-7.2695778974728471E-3</v>
      </c>
      <c r="H366" s="8">
        <f t="shared" si="23"/>
        <v>963145.89881389809</v>
      </c>
      <c r="I366" s="8">
        <f t="shared" si="21"/>
        <v>1067100.1647020529</v>
      </c>
      <c r="J366" s="13">
        <f t="shared" si="22"/>
        <v>-9.7417533355156141E-2</v>
      </c>
    </row>
    <row r="367" spans="1:10" x14ac:dyDescent="0.25">
      <c r="A367" s="6">
        <v>44988</v>
      </c>
      <c r="B367">
        <f>(Prices!B893/Prices!B892)-1</f>
        <v>-1.767812870540042E-2</v>
      </c>
      <c r="C367">
        <f>(Prices!C893/Prices!C892)-1</f>
        <v>-1.6386182462356014E-2</v>
      </c>
      <c r="D367">
        <f>(Prices!D893/Prices!D892)-1</f>
        <v>-1.25348189415041E-2</v>
      </c>
      <c r="E367">
        <f>(Prices!E893/Prices!E892)-1</f>
        <v>-1.8033652757866281E-2</v>
      </c>
      <c r="F367">
        <f>(Prices!F893/Prices!F892)-1</f>
        <v>-1.7782779966235562E-3</v>
      </c>
      <c r="G367">
        <f t="shared" si="20"/>
        <v>-1.3282212172750074E-2</v>
      </c>
      <c r="H367" s="8">
        <f t="shared" si="23"/>
        <v>950353.19063253782</v>
      </c>
      <c r="I367" s="8">
        <f t="shared" si="21"/>
        <v>1067100.1647020529</v>
      </c>
      <c r="J367" s="13">
        <f t="shared" si="22"/>
        <v>-0.10940582518053708</v>
      </c>
    </row>
    <row r="368" spans="1:10" x14ac:dyDescent="0.25">
      <c r="A368" s="5">
        <v>44991</v>
      </c>
      <c r="B368">
        <f>(Prices!B892/Prices!B891)-1</f>
        <v>-1.5494004032686082E-2</v>
      </c>
      <c r="C368">
        <f>(Prices!C892/Prices!C891)-1</f>
        <v>-6.1222039934376582E-3</v>
      </c>
      <c r="D368">
        <f>(Prices!D892/Prices!D891)-1</f>
        <v>-8.77625480721822E-3</v>
      </c>
      <c r="E368">
        <f>(Prices!E892/Prices!E891)-1</f>
        <v>5.9203036053130376E-3</v>
      </c>
      <c r="F368">
        <f>(Prices!F892/Prices!F891)-1</f>
        <v>-4.6156259102417829E-3</v>
      </c>
      <c r="G368">
        <f t="shared" si="20"/>
        <v>-5.8175570276541412E-3</v>
      </c>
      <c r="H368" s="8">
        <f t="shared" si="23"/>
        <v>944824.45674961992</v>
      </c>
      <c r="I368" s="8">
        <f t="shared" si="21"/>
        <v>1067100.1647020529</v>
      </c>
      <c r="J368" s="13">
        <f t="shared" si="22"/>
        <v>-0.11458690758104594</v>
      </c>
    </row>
    <row r="369" spans="1:10" x14ac:dyDescent="0.25">
      <c r="A369" s="6">
        <v>44992</v>
      </c>
      <c r="B369">
        <f>(Prices!B891/Prices!B890)-1</f>
        <v>1.3443751344375032E-2</v>
      </c>
      <c r="C369">
        <f>(Prices!C891/Prices!C890)-1</f>
        <v>1.0676588344724403E-2</v>
      </c>
      <c r="D369">
        <f>(Prices!D891/Prices!D890)-1</f>
        <v>1.9708396178984344E-2</v>
      </c>
      <c r="E369">
        <f>(Prices!E891/Prices!E890)-1</f>
        <v>3.0262746324679402E-2</v>
      </c>
      <c r="F369">
        <f>(Prices!F891/Prices!F890)-1</f>
        <v>1.4548430360755482E-2</v>
      </c>
      <c r="G369">
        <f t="shared" si="20"/>
        <v>1.7727982510703733E-2</v>
      </c>
      <c r="H369" s="8">
        <f t="shared" si="23"/>
        <v>961574.28819456231</v>
      </c>
      <c r="I369" s="8">
        <f t="shared" si="21"/>
        <v>1067100.1647020529</v>
      </c>
      <c r="J369" s="13">
        <f t="shared" si="22"/>
        <v>-9.8890319763894632E-2</v>
      </c>
    </row>
    <row r="370" spans="1:10" x14ac:dyDescent="0.25">
      <c r="A370" s="5">
        <v>44993</v>
      </c>
      <c r="B370">
        <f>(Prices!B890/Prices!B889)-1</f>
        <v>-4.0702656383889702E-3</v>
      </c>
      <c r="C370">
        <f>(Prices!C890/Prices!C889)-1</f>
        <v>1.7826034112546907E-3</v>
      </c>
      <c r="D370">
        <f>(Prices!D890/Prices!D889)-1</f>
        <v>1.479591836734695E-2</v>
      </c>
      <c r="E370">
        <f>(Prices!E890/Prices!E889)-1</f>
        <v>5.978602894902485E-3</v>
      </c>
      <c r="F370">
        <f>(Prices!F890/Prices!F889)-1</f>
        <v>6.9816417158814481E-3</v>
      </c>
      <c r="G370">
        <f t="shared" si="20"/>
        <v>5.0937001501993213E-3</v>
      </c>
      <c r="H370" s="8">
        <f t="shared" si="23"/>
        <v>966472.25929076679</v>
      </c>
      <c r="I370" s="8">
        <f t="shared" si="21"/>
        <v>1067100.1647020529</v>
      </c>
      <c r="J370" s="13">
        <f t="shared" si="22"/>
        <v>-9.4300337250329894E-2</v>
      </c>
    </row>
    <row r="371" spans="1:10" x14ac:dyDescent="0.25">
      <c r="A371" s="6">
        <v>44994</v>
      </c>
      <c r="B371">
        <f>(Prices!B889/Prices!B888)-1</f>
        <v>2.0885729907053063E-2</v>
      </c>
      <c r="C371">
        <f>(Prices!C889/Prices!C888)-1</f>
        <v>5.4584708134750581E-3</v>
      </c>
      <c r="D371">
        <f>(Prices!D889/Prices!D888)-1</f>
        <v>7.815713698066773E-3</v>
      </c>
      <c r="E371">
        <f>(Prices!E889/Prices!E888)-1</f>
        <v>5.7218895542249015E-2</v>
      </c>
      <c r="F371">
        <f>(Prices!F889/Prices!F888)-1</f>
        <v>1.223411650215489E-2</v>
      </c>
      <c r="G371">
        <f t="shared" si="20"/>
        <v>2.0722585292599762E-2</v>
      </c>
      <c r="H371" s="8">
        <f t="shared" si="23"/>
        <v>986500.06311685138</v>
      </c>
      <c r="I371" s="8">
        <f t="shared" si="21"/>
        <v>1067100.1647020529</v>
      </c>
      <c r="J371" s="13">
        <f t="shared" si="22"/>
        <v>-7.5531898739520931E-2</v>
      </c>
    </row>
    <row r="372" spans="1:10" x14ac:dyDescent="0.25">
      <c r="A372" s="5">
        <v>44995</v>
      </c>
      <c r="B372">
        <f>(Prices!B888/Prices!B887)-1</f>
        <v>1.8601024727110671E-2</v>
      </c>
      <c r="C372">
        <f>(Prices!C888/Prices!C887)-1</f>
        <v>1.5008682709005239E-2</v>
      </c>
      <c r="D372">
        <f>(Prices!D888/Prices!D887)-1</f>
        <v>1.2494793835901685E-2</v>
      </c>
      <c r="E372">
        <f>(Prices!E888/Prices!E887)-1</f>
        <v>-2.4738421607591987E-2</v>
      </c>
      <c r="F372">
        <f>(Prices!F888/Prices!F887)-1</f>
        <v>6.3658621895765766E-3</v>
      </c>
      <c r="G372">
        <f t="shared" si="20"/>
        <v>5.5463883708004374E-3</v>
      </c>
      <c r="H372" s="8">
        <f t="shared" si="23"/>
        <v>991971.57559471659</v>
      </c>
      <c r="I372" s="8">
        <f t="shared" si="21"/>
        <v>1067100.1647020529</v>
      </c>
      <c r="J372" s="13">
        <f t="shared" si="22"/>
        <v>-7.0404439613513836E-2</v>
      </c>
    </row>
    <row r="373" spans="1:10" x14ac:dyDescent="0.25">
      <c r="A373" s="6">
        <v>44998</v>
      </c>
      <c r="B373">
        <f>(Prices!B887/Prices!B886)-1</f>
        <v>-5.2077562326869886E-3</v>
      </c>
      <c r="C373">
        <f>(Prices!C887/Prices!C886)-1</f>
        <v>-2.0968264248704571E-2</v>
      </c>
      <c r="D373">
        <f>(Prices!D887/Prices!D886)-1</f>
        <v>1.1692826293058012E-2</v>
      </c>
      <c r="E373">
        <f>(Prices!E887/Prices!E886)-1</f>
        <v>1.8252395110670783E-2</v>
      </c>
      <c r="F373">
        <f>(Prices!F887/Prices!F886)-1</f>
        <v>-7.2227238002638972E-3</v>
      </c>
      <c r="G373">
        <f t="shared" si="20"/>
        <v>-6.9070457558533297E-4</v>
      </c>
      <c r="H373" s="8">
        <f t="shared" si="23"/>
        <v>991286.41628860275</v>
      </c>
      <c r="I373" s="8">
        <f t="shared" si="21"/>
        <v>1067100.1647020529</v>
      </c>
      <c r="J373" s="13">
        <f t="shared" si="22"/>
        <v>-7.1046515520516579E-2</v>
      </c>
    </row>
    <row r="374" spans="1:10" x14ac:dyDescent="0.25">
      <c r="A374" s="5">
        <v>44999</v>
      </c>
      <c r="B374">
        <f>(Prices!B886/Prices!B885)-1</f>
        <v>-3.0403953588311161E-2</v>
      </c>
      <c r="C374">
        <f>(Prices!C886/Prices!C885)-1</f>
        <v>-2.6366610176171479E-2</v>
      </c>
      <c r="D374">
        <f>(Prices!D886/Prices!D885)-1</f>
        <v>-3.7779410221429055E-3</v>
      </c>
      <c r="E374">
        <f>(Prices!E886/Prices!E885)-1</f>
        <v>-2.5042273935099391E-2</v>
      </c>
      <c r="F374">
        <f>(Prices!F886/Prices!F885)-1</f>
        <v>-1.9408054342551218E-3</v>
      </c>
      <c r="G374">
        <f t="shared" si="20"/>
        <v>-1.7506316831196016E-2</v>
      </c>
      <c r="H374" s="8">
        <f t="shared" si="23"/>
        <v>973932.64221459359</v>
      </c>
      <c r="I374" s="8">
        <f t="shared" si="21"/>
        <v>1067100.1647020529</v>
      </c>
      <c r="J374" s="13">
        <f t="shared" si="22"/>
        <v>-8.7309069541257958E-2</v>
      </c>
    </row>
    <row r="375" spans="1:10" x14ac:dyDescent="0.25">
      <c r="A375" s="6">
        <v>45000</v>
      </c>
      <c r="B375">
        <f>(Prices!B885/Prices!B884)-1</f>
        <v>-2.2268907563025242E-2</v>
      </c>
      <c r="C375">
        <f>(Prices!C885/Prices!C884)-1</f>
        <v>-1.7502420135527608E-2</v>
      </c>
      <c r="D375">
        <f>(Prices!D885/Prices!D884)-1</f>
        <v>5.2346769740474919E-2</v>
      </c>
      <c r="E375">
        <f>(Prices!E885/Prices!E884)-1</f>
        <v>4.9611223799864712E-2</v>
      </c>
      <c r="F375">
        <f>(Prices!F885/Prices!F884)-1</f>
        <v>-1.8219557195572333E-3</v>
      </c>
      <c r="G375">
        <f t="shared" si="20"/>
        <v>1.207294202444591E-2</v>
      </c>
      <c r="H375" s="8">
        <f t="shared" si="23"/>
        <v>985690.87453976576</v>
      </c>
      <c r="I375" s="8">
        <f t="shared" si="21"/>
        <v>1067100.1647020529</v>
      </c>
      <c r="J375" s="13">
        <f t="shared" si="22"/>
        <v>-7.6290204851592006E-2</v>
      </c>
    </row>
    <row r="376" spans="1:10" x14ac:dyDescent="0.25">
      <c r="A376" s="5">
        <v>45001</v>
      </c>
      <c r="B376">
        <f>(Prices!B884/Prices!B883)-1</f>
        <v>-4.1964375566066248E-2</v>
      </c>
      <c r="C376">
        <f>(Prices!C884/Prices!C883)-1</f>
        <v>-3.8962488835963205E-2</v>
      </c>
      <c r="D376">
        <f>(Prices!D884/Prices!D883)-1</f>
        <v>5.8875805376583656E-3</v>
      </c>
      <c r="E376">
        <f>(Prices!E884/Prices!E883)-1</f>
        <v>-1.9068147902503774E-2</v>
      </c>
      <c r="F376">
        <f>(Prices!F884/Prices!F883)-1</f>
        <v>-1.3962796197753202E-2</v>
      </c>
      <c r="G376">
        <f t="shared" si="20"/>
        <v>-2.1614045592925613E-2</v>
      </c>
      <c r="H376" s="8">
        <f t="shared" si="23"/>
        <v>964386.1070369326</v>
      </c>
      <c r="I376" s="8">
        <f t="shared" si="21"/>
        <v>1067100.1647020529</v>
      </c>
      <c r="J376" s="13">
        <f t="shared" si="22"/>
        <v>-9.6255310478561618E-2</v>
      </c>
    </row>
    <row r="377" spans="1:10" x14ac:dyDescent="0.25">
      <c r="A377" s="6">
        <v>45002</v>
      </c>
      <c r="B377">
        <f>(Prices!B883/Prices!B882)-1</f>
        <v>-1.2815418239618404E-2</v>
      </c>
      <c r="C377">
        <f>(Prices!C883/Prices!C882)-1</f>
        <v>-1.1550062532185601E-2</v>
      </c>
      <c r="D377">
        <f>(Prices!D883/Prices!D882)-1</f>
        <v>1.1915467625899234E-2</v>
      </c>
      <c r="E377">
        <f>(Prices!E883/Prices!E882)-1</f>
        <v>3.9290022402205693E-2</v>
      </c>
      <c r="F377">
        <f>(Prices!F883/Prices!F882)-1</f>
        <v>5.3497942386830921E-3</v>
      </c>
      <c r="G377">
        <f t="shared" si="20"/>
        <v>6.4379606989968027E-3</v>
      </c>
      <c r="H377" s="8">
        <f t="shared" si="23"/>
        <v>970594.78689269489</v>
      </c>
      <c r="I377" s="8">
        <f t="shared" si="21"/>
        <v>1067100.1647020529</v>
      </c>
      <c r="J377" s="13">
        <f t="shared" si="22"/>
        <v>-9.0437037685495547E-2</v>
      </c>
    </row>
    <row r="378" spans="1:10" x14ac:dyDescent="0.25">
      <c r="A378" s="5">
        <v>45005</v>
      </c>
      <c r="B378">
        <f>(Prices!B882/Prices!B881)-1</f>
        <v>3.8894983544430772E-3</v>
      </c>
      <c r="C378">
        <f>(Prices!C882/Prices!C881)-1</f>
        <v>2.6429056860228117E-2</v>
      </c>
      <c r="D378">
        <f>(Prices!D882/Prices!D881)-1</f>
        <v>-2.5523058385365505E-2</v>
      </c>
      <c r="E378">
        <f>(Prices!E882/Prices!E881)-1</f>
        <v>-1.0486827521527853E-2</v>
      </c>
      <c r="F378">
        <f>(Prices!F882/Prices!F881)-1</f>
        <v>-1.5640823675031057E-2</v>
      </c>
      <c r="G378">
        <f t="shared" si="20"/>
        <v>-4.2664308734506433E-3</v>
      </c>
      <c r="H378" s="8">
        <f t="shared" si="23"/>
        <v>966453.81132828561</v>
      </c>
      <c r="I378" s="8">
        <f t="shared" si="21"/>
        <v>1067100.1647020529</v>
      </c>
      <c r="J378" s="13">
        <f t="shared" si="22"/>
        <v>-9.43176251892614E-2</v>
      </c>
    </row>
    <row r="379" spans="1:10" x14ac:dyDescent="0.25">
      <c r="A379" s="6">
        <v>45006</v>
      </c>
      <c r="B379">
        <f>(Prices!B881/Prices!B880)-1</f>
        <v>-3.5216010776484286E-2</v>
      </c>
      <c r="C379">
        <f>(Prices!C881/Prices!C880)-1</f>
        <v>-5.6688065472838556E-3</v>
      </c>
      <c r="D379">
        <f>(Prices!D881/Prices!D880)-1</f>
        <v>-4.2881107150345876E-2</v>
      </c>
      <c r="E379">
        <f>(Prices!E881/Prices!E880)-1</f>
        <v>-2.6073237565390706E-2</v>
      </c>
      <c r="F379">
        <f>(Prices!F881/Prices!F880)-1</f>
        <v>-6.5284950924496821E-3</v>
      </c>
      <c r="G379">
        <f t="shared" si="20"/>
        <v>-2.3273531426390881E-2</v>
      </c>
      <c r="H379" s="8">
        <f t="shared" si="23"/>
        <v>943961.01817818149</v>
      </c>
      <c r="I379" s="8">
        <f t="shared" si="21"/>
        <v>1067100.1647020529</v>
      </c>
      <c r="J379" s="13">
        <f t="shared" si="22"/>
        <v>-0.11539605240174747</v>
      </c>
    </row>
    <row r="380" spans="1:10" x14ac:dyDescent="0.25">
      <c r="A380" s="5">
        <v>45007</v>
      </c>
      <c r="B380">
        <f>(Prices!B880/Prices!B879)-1</f>
        <v>1.4941406249999956E-2</v>
      </c>
      <c r="C380">
        <f>(Prices!C880/Prices!C879)-1</f>
        <v>5.4733504454174131E-3</v>
      </c>
      <c r="D380">
        <f>(Prices!D880/Prices!D879)-1</f>
        <v>2.3500375576778643E-2</v>
      </c>
      <c r="E380">
        <f>(Prices!E880/Prices!E879)-1</f>
        <v>2.6508694169792069E-2</v>
      </c>
      <c r="F380">
        <f>(Prices!F880/Prices!F879)-1</f>
        <v>9.6388261851014789E-3</v>
      </c>
      <c r="G380">
        <f t="shared" si="20"/>
        <v>1.6012530525417915E-2</v>
      </c>
      <c r="H380" s="8">
        <f t="shared" si="23"/>
        <v>959076.22279656422</v>
      </c>
      <c r="I380" s="8">
        <f t="shared" si="21"/>
        <v>1067100.1647020529</v>
      </c>
      <c r="J380" s="13">
        <f t="shared" si="22"/>
        <v>-0.10123130468792524</v>
      </c>
    </row>
    <row r="381" spans="1:10" x14ac:dyDescent="0.25">
      <c r="A381" s="6">
        <v>45008</v>
      </c>
      <c r="B381">
        <f>(Prices!B879/Prices!B878)-1</f>
        <v>-2.1032504780114647E-2</v>
      </c>
      <c r="C381">
        <f>(Prices!C879/Prices!C878)-1</f>
        <v>-1.9323313837269485E-2</v>
      </c>
      <c r="D381">
        <f>(Prices!D879/Prices!D878)-1</f>
        <v>1.1395702192316115E-2</v>
      </c>
      <c r="E381">
        <f>(Prices!E879/Prices!E878)-1</f>
        <v>2.6493462097254561E-3</v>
      </c>
      <c r="F381">
        <f>(Prices!F879/Prices!F878)-1</f>
        <v>1.192379734113036E-2</v>
      </c>
      <c r="G381">
        <f t="shared" si="20"/>
        <v>-2.8773945748424398E-3</v>
      </c>
      <c r="H381" s="8">
        <f t="shared" si="23"/>
        <v>956316.58207622892</v>
      </c>
      <c r="I381" s="8">
        <f t="shared" si="21"/>
        <v>1067100.1647020529</v>
      </c>
      <c r="J381" s="13">
        <f t="shared" si="22"/>
        <v>-0.10381741685585451</v>
      </c>
    </row>
    <row r="382" spans="1:10" x14ac:dyDescent="0.25">
      <c r="A382" s="5">
        <v>45009</v>
      </c>
      <c r="B382">
        <f>(Prices!B878/Prices!B877)-1</f>
        <v>1.4360938247963695E-3</v>
      </c>
      <c r="C382">
        <f>(Prices!C878/Prices!C877)-1</f>
        <v>-1.0367439645382448E-2</v>
      </c>
      <c r="D382">
        <f>(Prices!D878/Prices!D877)-1</f>
        <v>-1.1924119241192299E-3</v>
      </c>
      <c r="E382">
        <f>(Prices!E878/Prices!E877)-1</f>
        <v>1.5447366137290697E-2</v>
      </c>
      <c r="F382">
        <f>(Prices!F878/Prices!F877)-1</f>
        <v>-1.2763846292621395E-2</v>
      </c>
      <c r="G382">
        <f t="shared" si="20"/>
        <v>-1.4880475800072008E-3</v>
      </c>
      <c r="H382" s="8">
        <f t="shared" si="23"/>
        <v>954893.53750054969</v>
      </c>
      <c r="I382" s="8">
        <f t="shared" si="21"/>
        <v>1067100.1647020529</v>
      </c>
      <c r="J382" s="13">
        <f t="shared" si="22"/>
        <v>-0.1051509791799467</v>
      </c>
    </row>
    <row r="383" spans="1:10" x14ac:dyDescent="0.25">
      <c r="A383" s="6">
        <v>45012</v>
      </c>
      <c r="B383">
        <f>(Prices!B877/Prices!B876)-1</f>
        <v>2.9165435018228436E-2</v>
      </c>
      <c r="C383">
        <f>(Prices!C877/Prices!C876)-1</f>
        <v>1.5135738192636916E-2</v>
      </c>
      <c r="D383">
        <f>(Prices!D877/Prices!D876)-1</f>
        <v>-2.1427813726530132E-2</v>
      </c>
      <c r="E383">
        <f>(Prices!E877/Prices!E876)-1</f>
        <v>-2.7841052898000429E-2</v>
      </c>
      <c r="F383">
        <f>(Prices!F877/Prices!F876)-1</f>
        <v>-1.2273081634925909E-2</v>
      </c>
      <c r="G383">
        <f t="shared" si="20"/>
        <v>-3.4481550097182232E-3</v>
      </c>
      <c r="H383" s="8">
        <f t="shared" si="23"/>
        <v>951600.9165654697</v>
      </c>
      <c r="I383" s="8">
        <f t="shared" si="21"/>
        <v>1067100.1647020529</v>
      </c>
      <c r="J383" s="13">
        <f t="shared" si="22"/>
        <v>-0.10823655731402873</v>
      </c>
    </row>
    <row r="384" spans="1:10" x14ac:dyDescent="0.25">
      <c r="A384" s="5">
        <v>45013</v>
      </c>
      <c r="B384">
        <f>(Prices!B876/Prices!B875)-1</f>
        <v>1.4088729016786594E-2</v>
      </c>
      <c r="C384">
        <f>(Prices!C876/Prices!C875)-1</f>
        <v>4.1825379042497168E-3</v>
      </c>
      <c r="D384">
        <f>(Prices!D876/Prices!D875)-1</f>
        <v>-1.236249345206919E-2</v>
      </c>
      <c r="E384">
        <f>(Prices!E876/Prices!E875)-1</f>
        <v>-3.0280090840272278E-3</v>
      </c>
      <c r="F384">
        <f>(Prices!F876/Prices!F875)-1</f>
        <v>1.9715174779112887E-2</v>
      </c>
      <c r="G384">
        <f t="shared" si="20"/>
        <v>4.5191878328105567E-3</v>
      </c>
      <c r="H384" s="8">
        <f t="shared" si="23"/>
        <v>955901.37984930375</v>
      </c>
      <c r="I384" s="8">
        <f t="shared" si="21"/>
        <v>1067100.1647020529</v>
      </c>
      <c r="J384" s="13">
        <f t="shared" si="22"/>
        <v>-0.10420651081409703</v>
      </c>
    </row>
    <row r="385" spans="1:10" x14ac:dyDescent="0.25">
      <c r="A385" s="6">
        <v>45014</v>
      </c>
      <c r="B385">
        <f>(Prices!B875/Prices!B874)-1</f>
        <v>-3.4850144379170445E-3</v>
      </c>
      <c r="C385">
        <f>(Prices!C875/Prices!C874)-1</f>
        <v>-1.8797405738155581E-2</v>
      </c>
      <c r="D385">
        <f>(Prices!D875/Prices!D874)-1</f>
        <v>-1.6891543928313935E-2</v>
      </c>
      <c r="E385">
        <f>(Prices!E875/Prices!E874)-1</f>
        <v>-2.0146058927221766E-3</v>
      </c>
      <c r="F385">
        <f>(Prices!F875/Prices!F874)-1</f>
        <v>1.2860034968252387E-2</v>
      </c>
      <c r="G385">
        <f t="shared" si="20"/>
        <v>-5.6657070057712696E-3</v>
      </c>
      <c r="H385" s="8">
        <f t="shared" si="23"/>
        <v>950485.52270466508</v>
      </c>
      <c r="I385" s="8">
        <f t="shared" si="21"/>
        <v>1067100.1647020529</v>
      </c>
      <c r="J385" s="13">
        <f t="shared" si="22"/>
        <v>-0.10928181426150192</v>
      </c>
    </row>
    <row r="386" spans="1:10" x14ac:dyDescent="0.25">
      <c r="A386" s="5">
        <v>45015</v>
      </c>
      <c r="B386">
        <f>(Prices!B874/Prices!B873)-1</f>
        <v>4.9029417650592322E-3</v>
      </c>
      <c r="C386">
        <f>(Prices!C874/Prices!C873)-1</f>
        <v>-1.2483716891011687E-2</v>
      </c>
      <c r="D386">
        <f>(Prices!D874/Prices!D873)-1</f>
        <v>-4.8175481754817451E-3</v>
      </c>
      <c r="E386">
        <f>(Prices!E874/Prices!E873)-1</f>
        <v>3.0310684516292596E-3</v>
      </c>
      <c r="F386">
        <f>(Prices!F874/Prices!F873)-1</f>
        <v>-7.39861161856048E-3</v>
      </c>
      <c r="G386">
        <f t="shared" ref="G386:G449" si="24">B386*20%+C386*20%+D386*20%+E386*20%+F386*20%</f>
        <v>-3.3531732936730842E-3</v>
      </c>
      <c r="H386" s="8">
        <f t="shared" si="23"/>
        <v>947298.38003390888</v>
      </c>
      <c r="I386" s="8">
        <f t="shared" ref="I386:I449" si="25">MAX(I385,H386)</f>
        <v>1067100.1647020529</v>
      </c>
      <c r="J386" s="13">
        <f t="shared" ref="J386:J449" si="26">(H386-I386)/I386</f>
        <v>-0.11226854669410923</v>
      </c>
    </row>
    <row r="387" spans="1:10" x14ac:dyDescent="0.25">
      <c r="A387" s="6">
        <v>45016</v>
      </c>
      <c r="B387">
        <f>(Prices!B873/Prices!B872)-1</f>
        <v>-2.7347931873479392E-2</v>
      </c>
      <c r="C387">
        <f>(Prices!C873/Prices!C872)-1</f>
        <v>-1.4724232592962294E-2</v>
      </c>
      <c r="D387">
        <f>(Prices!D873/Prices!D872)-1</f>
        <v>-1.535155050660042E-3</v>
      </c>
      <c r="E387">
        <f>(Prices!E873/Prices!E872)-1</f>
        <v>-1.1979036685799804E-2</v>
      </c>
      <c r="F387">
        <f>(Prices!F873/Prices!F872)-1</f>
        <v>-5.337633724759705E-3</v>
      </c>
      <c r="G387">
        <f t="shared" si="24"/>
        <v>-1.218479798553225E-2</v>
      </c>
      <c r="H387" s="8">
        <f t="shared" si="23"/>
        <v>935755.74064117367</v>
      </c>
      <c r="I387" s="8">
        <f t="shared" si="25"/>
        <v>1067100.1647020529</v>
      </c>
      <c r="J387" s="13">
        <f t="shared" si="26"/>
        <v>-0.12308537511804452</v>
      </c>
    </row>
    <row r="388" spans="1:10" x14ac:dyDescent="0.25">
      <c r="A388" s="5">
        <v>45019</v>
      </c>
      <c r="B388">
        <f>(Prices!B872/Prices!B871)-1</f>
        <v>-6.0940220545560031E-3</v>
      </c>
      <c r="C388">
        <f>(Prices!C872/Prices!C871)-1</f>
        <v>3.7215959921275132E-3</v>
      </c>
      <c r="D388">
        <f>(Prices!D872/Prices!D871)-1</f>
        <v>-5.5759567066099858E-2</v>
      </c>
      <c r="E388">
        <f>(Prices!E872/Prices!E871)-1</f>
        <v>1.1659865078703646E-3</v>
      </c>
      <c r="F388">
        <f>(Prices!F872/Prices!F871)-1</f>
        <v>-4.3722849695916555E-2</v>
      </c>
      <c r="G388">
        <f t="shared" si="24"/>
        <v>-2.013777126331491E-2</v>
      </c>
      <c r="H388" s="8">
        <f t="shared" ref="H388:H451" si="27">H387*(1+G388)</f>
        <v>916911.70557780785</v>
      </c>
      <c r="I388" s="8">
        <f t="shared" si="25"/>
        <v>1067100.1647020529</v>
      </c>
      <c r="J388" s="13">
        <f t="shared" si="26"/>
        <v>-0.14074448125137298</v>
      </c>
    </row>
    <row r="389" spans="1:10" x14ac:dyDescent="0.25">
      <c r="A389" s="6">
        <v>45020</v>
      </c>
      <c r="B389">
        <f>(Prices!B871/Prices!B870)-1</f>
        <v>-3.3741444133810194E-3</v>
      </c>
      <c r="C389">
        <f>(Prices!C871/Prices!C870)-1</f>
        <v>1.7895490336439224E-4</v>
      </c>
      <c r="D389">
        <f>(Prices!D871/Prices!D870)-1</f>
        <v>9.6594789735584552E-3</v>
      </c>
      <c r="E389">
        <f>(Prices!E871/Prices!E870)-1</f>
        <v>1.3505528825862978E-2</v>
      </c>
      <c r="F389">
        <f>(Prices!F871/Prices!F870)-1</f>
        <v>1.9150417827298316E-3</v>
      </c>
      <c r="G389">
        <f t="shared" si="24"/>
        <v>4.3769720144269273E-3</v>
      </c>
      <c r="H389" s="8">
        <f t="shared" si="27"/>
        <v>920925.00245282229</v>
      </c>
      <c r="I389" s="8">
        <f t="shared" si="25"/>
        <v>1067100.1647020529</v>
      </c>
      <c r="J389" s="13">
        <f t="shared" si="26"/>
        <v>-0.13698354389256842</v>
      </c>
    </row>
    <row r="390" spans="1:10" x14ac:dyDescent="0.25">
      <c r="A390" s="5">
        <v>45021</v>
      </c>
      <c r="B390">
        <f>(Prices!B870/Prices!B869)-1</f>
        <v>2.3190646439270601E-3</v>
      </c>
      <c r="C390">
        <f>(Prices!C870/Prices!C869)-1</f>
        <v>9.9768652400231694E-3</v>
      </c>
      <c r="D390">
        <f>(Prices!D870/Prices!D869)-1</f>
        <v>-1.6788181120491186E-2</v>
      </c>
      <c r="E390">
        <f>(Prices!E870/Prices!E869)-1</f>
        <v>-1.517067003792727E-3</v>
      </c>
      <c r="F390">
        <f>(Prices!F870/Prices!F869)-1</f>
        <v>-3.138635357602082E-2</v>
      </c>
      <c r="G390">
        <f t="shared" si="24"/>
        <v>-7.4791343632709013E-3</v>
      </c>
      <c r="H390" s="8">
        <f t="shared" si="27"/>
        <v>914037.28062098206</v>
      </c>
      <c r="I390" s="8">
        <f t="shared" si="25"/>
        <v>1067100.1647020529</v>
      </c>
      <c r="J390" s="13">
        <f t="shared" si="26"/>
        <v>-0.14343815992550979</v>
      </c>
    </row>
    <row r="391" spans="1:10" x14ac:dyDescent="0.25">
      <c r="A391" s="6">
        <v>45022</v>
      </c>
      <c r="B391">
        <f>(Prices!B869/Prices!B868)-1</f>
        <v>-3.6405959031657442E-2</v>
      </c>
      <c r="C391">
        <f>(Prices!C869/Prices!C868)-1</f>
        <v>-2.4885442368699384E-2</v>
      </c>
      <c r="D391">
        <f>(Prices!D869/Prices!D868)-1</f>
        <v>1.6777214202106983E-2</v>
      </c>
      <c r="E391">
        <f>(Prices!E869/Prices!E868)-1</f>
        <v>1.1813349084466296E-3</v>
      </c>
      <c r="F391">
        <f>(Prices!F869/Prices!F868)-1</f>
        <v>-6.9703185833298598E-3</v>
      </c>
      <c r="G391">
        <f t="shared" si="24"/>
        <v>-1.0060634174626616E-2</v>
      </c>
      <c r="H391" s="8">
        <f t="shared" si="27"/>
        <v>904841.48591868381</v>
      </c>
      <c r="I391" s="8">
        <f t="shared" si="25"/>
        <v>1067100.1647020529</v>
      </c>
      <c r="J391" s="13">
        <f t="shared" si="26"/>
        <v>-0.15205571524644426</v>
      </c>
    </row>
    <row r="392" spans="1:10" x14ac:dyDescent="0.25">
      <c r="A392" s="5">
        <v>45026</v>
      </c>
      <c r="B392">
        <f>(Prices!B868/Prices!B867)-1</f>
        <v>1.8588770864947035E-2</v>
      </c>
      <c r="C392">
        <f>(Prices!C868/Prices!C867)-1</f>
        <v>7.6362990587817148E-3</v>
      </c>
      <c r="D392">
        <f>(Prices!D868/Prices!D867)-1</f>
        <v>4.5071526553006613E-3</v>
      </c>
      <c r="E392">
        <f>(Prices!E868/Prices!E867)-1</f>
        <v>-3.3638886552854741E-3</v>
      </c>
      <c r="F392">
        <f>(Prices!F868/Prices!F867)-1</f>
        <v>-4.6046463173247121E-3</v>
      </c>
      <c r="G392">
        <f t="shared" si="24"/>
        <v>4.5527375212838445E-3</v>
      </c>
      <c r="H392" s="8">
        <f t="shared" si="27"/>
        <v>908960.99170244008</v>
      </c>
      <c r="I392" s="8">
        <f t="shared" si="25"/>
        <v>1067100.1647020529</v>
      </c>
      <c r="J392" s="13">
        <f t="shared" si="26"/>
        <v>-0.14819524748528851</v>
      </c>
    </row>
    <row r="393" spans="1:10" x14ac:dyDescent="0.25">
      <c r="A393" s="6">
        <v>45027</v>
      </c>
      <c r="B393">
        <f>(Prices!B867/Prices!B866)-1</f>
        <v>1.0348792640858528E-2</v>
      </c>
      <c r="C393">
        <f>(Prices!C867/Prices!C866)-1</f>
        <v>2.318566704219216E-2</v>
      </c>
      <c r="D393">
        <f>(Prices!D867/Prices!D866)-1</f>
        <v>-7.0052539404553693E-3</v>
      </c>
      <c r="E393">
        <f>(Prices!E867/Prices!E866)-1</f>
        <v>-4.8539626747008402E-3</v>
      </c>
      <c r="F393">
        <f>(Prices!F867/Prices!F866)-1</f>
        <v>-1.1125991552487946E-2</v>
      </c>
      <c r="G393">
        <f t="shared" si="24"/>
        <v>2.1098503030813061E-3</v>
      </c>
      <c r="H393" s="8">
        <f t="shared" si="27"/>
        <v>910878.76332627248</v>
      </c>
      <c r="I393" s="8">
        <f t="shared" si="25"/>
        <v>1067100.1647020529</v>
      </c>
      <c r="J393" s="13">
        <f t="shared" si="26"/>
        <v>-0.14639806697002933</v>
      </c>
    </row>
    <row r="394" spans="1:10" x14ac:dyDescent="0.25">
      <c r="A394" s="5">
        <v>45028</v>
      </c>
      <c r="B394">
        <f>(Prices!B866/Prices!B865)-1</f>
        <v>6.8499758803666211E-3</v>
      </c>
      <c r="C394">
        <f>(Prices!C866/Prices!C865)-1</f>
        <v>-2.3204379826692323E-3</v>
      </c>
      <c r="D394">
        <f>(Prices!D866/Prices!D865)-1</f>
        <v>9.7389949357218342E-4</v>
      </c>
      <c r="E394">
        <f>(Prices!E866/Prices!E865)-1</f>
        <v>1.6740604335807596E-4</v>
      </c>
      <c r="F394">
        <f>(Prices!F866/Prices!F865)-1</f>
        <v>-4.1190402636182011E-4</v>
      </c>
      <c r="G394">
        <f t="shared" si="24"/>
        <v>1.0517878816531658E-3</v>
      </c>
      <c r="H394" s="8">
        <f t="shared" si="27"/>
        <v>911836.81457119423</v>
      </c>
      <c r="I394" s="8">
        <f t="shared" si="25"/>
        <v>1067100.1647020529</v>
      </c>
      <c r="J394" s="13">
        <f t="shared" si="26"/>
        <v>-0.14550025880111273</v>
      </c>
    </row>
    <row r="395" spans="1:10" x14ac:dyDescent="0.25">
      <c r="A395" s="6">
        <v>45029</v>
      </c>
      <c r="B395">
        <f>(Prices!B865/Prices!B864)-1</f>
        <v>-2.6028941928208926E-2</v>
      </c>
      <c r="C395">
        <f>(Prices!C865/Prices!C864)-1</f>
        <v>-2.191567076846701E-2</v>
      </c>
      <c r="D395">
        <f>(Prices!D865/Prices!D864)-1</f>
        <v>-4.6529662659944293E-3</v>
      </c>
      <c r="E395">
        <f>(Prices!E865/Prices!E864)-1</f>
        <v>-3.8355707496040559E-3</v>
      </c>
      <c r="F395">
        <f>(Prices!F865/Prices!F864)-1</f>
        <v>-9.5869454360020256E-3</v>
      </c>
      <c r="G395">
        <f t="shared" si="24"/>
        <v>-1.320401902965529E-2</v>
      </c>
      <c r="H395" s="8">
        <f t="shared" si="27"/>
        <v>899796.90391965595</v>
      </c>
      <c r="I395" s="8">
        <f t="shared" si="25"/>
        <v>1067100.1647020529</v>
      </c>
      <c r="J395" s="13">
        <f t="shared" si="26"/>
        <v>-0.15678308964473833</v>
      </c>
    </row>
    <row r="396" spans="1:10" x14ac:dyDescent="0.25">
      <c r="A396" s="5">
        <v>45030</v>
      </c>
      <c r="B396">
        <f>(Prices!B864/Prices!B863)-1</f>
        <v>-1.3167655786350152E-2</v>
      </c>
      <c r="C396">
        <f>(Prices!C864/Prices!C863)-1</f>
        <v>1.2931498976256339E-2</v>
      </c>
      <c r="D396">
        <f>(Prices!D864/Prices!D863)-1</f>
        <v>-2.417561164297477E-3</v>
      </c>
      <c r="E396">
        <f>(Prices!E864/Prices!E863)-1</f>
        <v>-7.0165917196464478E-2</v>
      </c>
      <c r="F396">
        <f>(Prices!F864/Prices!F863)-1</f>
        <v>2.8230457853562374E-2</v>
      </c>
      <c r="G396">
        <f t="shared" si="24"/>
        <v>-8.9178354634586801E-3</v>
      </c>
      <c r="H396" s="8">
        <f t="shared" si="27"/>
        <v>891772.66317997093</v>
      </c>
      <c r="I396" s="8">
        <f t="shared" si="25"/>
        <v>1067100.1647020529</v>
      </c>
      <c r="J396" s="13">
        <f t="shared" si="26"/>
        <v>-0.16430275931129254</v>
      </c>
    </row>
    <row r="397" spans="1:10" x14ac:dyDescent="0.25">
      <c r="A397" s="6">
        <v>45033</v>
      </c>
      <c r="B397">
        <f>(Prices!B863/Prices!B862)-1</f>
        <v>2.7341145089073038E-2</v>
      </c>
      <c r="C397">
        <f>(Prices!C863/Prices!C862)-1</f>
        <v>-9.2177379172896368E-3</v>
      </c>
      <c r="D397">
        <f>(Prices!D863/Prices!D862)-1</f>
        <v>1.1839530332681036E-2</v>
      </c>
      <c r="E397">
        <f>(Prices!E863/Prices!E862)-1</f>
        <v>-7.9224675024998081E-3</v>
      </c>
      <c r="F397">
        <f>(Prices!F863/Prices!F862)-1</f>
        <v>1.2744535780284227E-2</v>
      </c>
      <c r="G397">
        <f t="shared" si="24"/>
        <v>6.9570011564497724E-3</v>
      </c>
      <c r="H397" s="8">
        <f t="shared" si="27"/>
        <v>897976.72662900423</v>
      </c>
      <c r="I397" s="8">
        <f t="shared" si="25"/>
        <v>1067100.1647020529</v>
      </c>
      <c r="J397" s="13">
        <f t="shared" si="26"/>
        <v>-0.15848881264137935</v>
      </c>
    </row>
    <row r="398" spans="1:10" x14ac:dyDescent="0.25">
      <c r="A398" s="5">
        <v>45034</v>
      </c>
      <c r="B398">
        <f>(Prices!B862/Prices!B861)-1</f>
        <v>1.41049173992851E-2</v>
      </c>
      <c r="C398">
        <f>(Prices!C862/Prices!C861)-1</f>
        <v>1.4970059880239361E-3</v>
      </c>
      <c r="D398">
        <f>(Prices!D862/Prices!D861)-1</f>
        <v>-1.9193857965451033E-2</v>
      </c>
      <c r="E398">
        <f>(Prices!E862/Prices!E861)-1</f>
        <v>-1.1105195101544174E-2</v>
      </c>
      <c r="F398">
        <f>(Prices!F862/Prices!F861)-1</f>
        <v>1.7234775947911896E-3</v>
      </c>
      <c r="G398">
        <f t="shared" si="24"/>
        <v>-2.5947304169789964E-3</v>
      </c>
      <c r="H398" s="8">
        <f t="shared" si="27"/>
        <v>895646.71910268068</v>
      </c>
      <c r="I398" s="8">
        <f t="shared" si="25"/>
        <v>1067100.1647020529</v>
      </c>
      <c r="J398" s="13">
        <f t="shared" si="26"/>
        <v>-0.16067230731544691</v>
      </c>
    </row>
    <row r="399" spans="1:10" x14ac:dyDescent="0.25">
      <c r="A399" s="6">
        <v>45035</v>
      </c>
      <c r="B399">
        <f>(Prices!B861/Prices!B860)-1</f>
        <v>3.00387596899232E-3</v>
      </c>
      <c r="C399">
        <f>(Prices!C861/Prices!C860)-1</f>
        <v>-2.8506271379702408E-4</v>
      </c>
      <c r="D399">
        <f>(Prices!D861/Prices!D860)-1</f>
        <v>3.1770482333686179E-3</v>
      </c>
      <c r="E399">
        <f>(Prices!E861/Prices!E860)-1</f>
        <v>1.2947448591011934E-3</v>
      </c>
      <c r="F399">
        <f>(Prices!F861/Prices!F860)-1</f>
        <v>3.7597968870736409E-2</v>
      </c>
      <c r="G399">
        <f t="shared" si="24"/>
        <v>8.9577150436803039E-3</v>
      </c>
      <c r="H399" s="8">
        <f t="shared" si="27"/>
        <v>903669.66719220974</v>
      </c>
      <c r="I399" s="8">
        <f t="shared" si="25"/>
        <v>1067100.1647020529</v>
      </c>
      <c r="J399" s="13">
        <f t="shared" si="26"/>
        <v>-0.15315384901610896</v>
      </c>
    </row>
    <row r="400" spans="1:10" x14ac:dyDescent="0.25">
      <c r="A400" s="5">
        <v>45036</v>
      </c>
      <c r="B400">
        <f>(Prices!B860/Prices!B859)-1</f>
        <v>-1.0546500479386323E-2</v>
      </c>
      <c r="C400">
        <f>(Prices!C860/Prices!C859)-1</f>
        <v>8.1908320160941628E-3</v>
      </c>
      <c r="D400">
        <f>(Prices!D860/Prices!D859)-1</f>
        <v>8.055124223602439E-3</v>
      </c>
      <c r="E400">
        <f>(Prices!E860/Prices!E859)-1</f>
        <v>2.9025358997862849E-3</v>
      </c>
      <c r="F400">
        <f>(Prices!F860/Prices!F859)-1</f>
        <v>-2.5983749146720747E-3</v>
      </c>
      <c r="G400">
        <f t="shared" si="24"/>
        <v>1.2007233490848978E-3</v>
      </c>
      <c r="H400" s="8">
        <f t="shared" si="27"/>
        <v>904754.72446146724</v>
      </c>
      <c r="I400" s="8">
        <f t="shared" si="25"/>
        <v>1067100.1647020529</v>
      </c>
      <c r="J400" s="13">
        <f t="shared" si="26"/>
        <v>-0.15213702106953989</v>
      </c>
    </row>
    <row r="401" spans="1:10" x14ac:dyDescent="0.25">
      <c r="A401" s="6">
        <v>45037</v>
      </c>
      <c r="B401">
        <f>(Prices!B859/Prices!B858)-1</f>
        <v>-1.1492051331163378E-3</v>
      </c>
      <c r="C401">
        <f>(Prices!C859/Prices!C858)-1</f>
        <v>1.2229336018991788E-3</v>
      </c>
      <c r="D401">
        <f>(Prices!D859/Prices!D858)-1</f>
        <v>-3.19241559446648E-3</v>
      </c>
      <c r="E401">
        <f>(Prices!E859/Prices!E858)-1</f>
        <v>1.9132164995789847E-3</v>
      </c>
      <c r="F401">
        <f>(Prices!F859/Prices!F858)-1</f>
        <v>7.5209655233614559E-3</v>
      </c>
      <c r="G401">
        <f t="shared" si="24"/>
        <v>1.2630989794513606E-3</v>
      </c>
      <c r="H401" s="8">
        <f t="shared" si="27"/>
        <v>905897.51923058822</v>
      </c>
      <c r="I401" s="8">
        <f t="shared" si="25"/>
        <v>1067100.1647020529</v>
      </c>
      <c r="J401" s="13">
        <f t="shared" si="26"/>
        <v>-0.15106608620613832</v>
      </c>
    </row>
    <row r="402" spans="1:10" x14ac:dyDescent="0.25">
      <c r="A402" s="5">
        <v>45040</v>
      </c>
      <c r="B402">
        <f>(Prices!B858/Prices!B857)-1</f>
        <v>-5.2395922644564719E-3</v>
      </c>
      <c r="C402">
        <f>(Prices!C858/Prices!C857)-1</f>
        <v>1.4153352301743638E-2</v>
      </c>
      <c r="D402">
        <f>(Prices!D858/Prices!D857)-1</f>
        <v>-1.8515001898974481E-2</v>
      </c>
      <c r="E402">
        <f>(Prices!E858/Prices!E857)-1</f>
        <v>-1.2992968511159608E-3</v>
      </c>
      <c r="F402">
        <f>(Prices!F858/Prices!F857)-1</f>
        <v>-1.0471778885205563E-2</v>
      </c>
      <c r="G402">
        <f t="shared" si="24"/>
        <v>-4.2744635196017679E-3</v>
      </c>
      <c r="H402" s="8">
        <f t="shared" si="27"/>
        <v>902025.29333213926</v>
      </c>
      <c r="I402" s="8">
        <f t="shared" si="25"/>
        <v>1067100.1647020529</v>
      </c>
      <c r="J402" s="13">
        <f t="shared" si="26"/>
        <v>-0.15469482325120298</v>
      </c>
    </row>
    <row r="403" spans="1:10" x14ac:dyDescent="0.25">
      <c r="A403" s="6">
        <v>45041</v>
      </c>
      <c r="B403">
        <f>(Prices!B857/Prices!B856)-1</f>
        <v>2.0414114902303826E-2</v>
      </c>
      <c r="C403">
        <f>(Prices!C857/Prices!C856)-1</f>
        <v>2.3063143752799053E-2</v>
      </c>
      <c r="D403">
        <f>(Prices!D857/Prices!D856)-1</f>
        <v>1.4350380429548171E-2</v>
      </c>
      <c r="E403">
        <f>(Prices!E857/Prices!E856)-1</f>
        <v>2.2187500000000027E-2</v>
      </c>
      <c r="F403">
        <f>(Prices!F857/Prices!F856)-1</f>
        <v>-6.0443397049838588E-3</v>
      </c>
      <c r="G403">
        <f t="shared" si="24"/>
        <v>1.4794159875933445E-2</v>
      </c>
      <c r="H403" s="8">
        <f t="shared" si="27"/>
        <v>915369.99973383057</v>
      </c>
      <c r="I403" s="8">
        <f t="shared" si="25"/>
        <v>1067100.1647020529</v>
      </c>
      <c r="J403" s="13">
        <f t="shared" si="26"/>
        <v>-0.14218924332242722</v>
      </c>
    </row>
    <row r="404" spans="1:10" x14ac:dyDescent="0.25">
      <c r="A404" s="5">
        <v>45042</v>
      </c>
      <c r="B404">
        <f>(Prices!B856/Prices!B855)-1</f>
        <v>1.3627956779909134E-3</v>
      </c>
      <c r="C404">
        <f>(Prices!C856/Prices!C855)-1</f>
        <v>-6.7543584925357614E-2</v>
      </c>
      <c r="D404">
        <f>(Prices!D856/Prices!D855)-1</f>
        <v>9.3321668124817236E-3</v>
      </c>
      <c r="E404">
        <f>(Prices!E856/Prices!E855)-1</f>
        <v>1.8054561361647847E-2</v>
      </c>
      <c r="F404">
        <f>(Prices!F856/Prices!F855)-1</f>
        <v>1.8558442424376986E-2</v>
      </c>
      <c r="G404">
        <f t="shared" si="24"/>
        <v>-4.047123729772029E-3</v>
      </c>
      <c r="H404" s="8">
        <f t="shared" si="27"/>
        <v>911665.38408638642</v>
      </c>
      <c r="I404" s="8">
        <f t="shared" si="25"/>
        <v>1067100.1647020529</v>
      </c>
      <c r="J404" s="13">
        <f t="shared" si="26"/>
        <v>-0.14566090959143069</v>
      </c>
    </row>
    <row r="405" spans="1:10" x14ac:dyDescent="0.25">
      <c r="A405" s="6">
        <v>45043</v>
      </c>
      <c r="B405">
        <f>(Prices!B855/Prices!B854)-1</f>
        <v>-3.6123100018765175E-2</v>
      </c>
      <c r="C405">
        <f>(Prices!C855/Prices!C854)-1</f>
        <v>-3.1054015779890642E-2</v>
      </c>
      <c r="D405">
        <f>(Prices!D855/Prices!D854)-1</f>
        <v>-1.1815561959654053E-2</v>
      </c>
      <c r="E405">
        <f>(Prices!E855/Prices!E854)-1</f>
        <v>-1.3263223983675965E-2</v>
      </c>
      <c r="F405">
        <f>(Prices!F855/Prices!F854)-1</f>
        <v>-1.5319633204210703E-2</v>
      </c>
      <c r="G405">
        <f t="shared" si="24"/>
        <v>-2.1515106989239311E-2</v>
      </c>
      <c r="H405" s="8">
        <f t="shared" si="27"/>
        <v>892050.80580938188</v>
      </c>
      <c r="I405" s="8">
        <f t="shared" si="25"/>
        <v>1067100.1647020529</v>
      </c>
      <c r="J405" s="13">
        <f t="shared" si="26"/>
        <v>-0.16404210652666043</v>
      </c>
    </row>
    <row r="406" spans="1:10" x14ac:dyDescent="0.25">
      <c r="A406" s="5">
        <v>45044</v>
      </c>
      <c r="B406">
        <f>(Prices!B854/Prices!B853)-1</f>
        <v>2.3511708830998845E-3</v>
      </c>
      <c r="C406">
        <f>(Prices!C854/Prices!C853)-1</f>
        <v>-7.8945607814278063E-3</v>
      </c>
      <c r="D406">
        <f>(Prices!D854/Prices!D853)-1</f>
        <v>-1.2802275960170806E-2</v>
      </c>
      <c r="E406">
        <f>(Prices!E854/Prices!E853)-1</f>
        <v>-8.6361160818485549E-3</v>
      </c>
      <c r="F406">
        <f>(Prices!F854/Prices!F853)-1</f>
        <v>-3.2937789023644859E-3</v>
      </c>
      <c r="G406">
        <f t="shared" si="24"/>
        <v>-6.0551121685423533E-3</v>
      </c>
      <c r="H406" s="8">
        <f t="shared" si="27"/>
        <v>886649.33812016749</v>
      </c>
      <c r="I406" s="8">
        <f t="shared" si="25"/>
        <v>1067100.1647020529</v>
      </c>
      <c r="J406" s="13">
        <f t="shared" si="26"/>
        <v>-0.16910392533981988</v>
      </c>
    </row>
    <row r="407" spans="1:10" x14ac:dyDescent="0.25">
      <c r="A407" s="6">
        <v>45047</v>
      </c>
      <c r="B407">
        <f>(Prices!B853/Prices!B852)-1</f>
        <v>1.3183915622940745E-3</v>
      </c>
      <c r="C407">
        <f>(Prices!C853/Prices!C852)-1</f>
        <v>5.5501362306165092E-3</v>
      </c>
      <c r="D407">
        <f>(Prices!D853/Prices!D852)-1</f>
        <v>3.2002348796241975E-2</v>
      </c>
      <c r="E407">
        <f>(Prices!E853/Prices!E852)-1</f>
        <v>-2.0947592931139569E-2</v>
      </c>
      <c r="F407">
        <f>(Prices!F853/Prices!F852)-1</f>
        <v>-7.2758770030316722E-3</v>
      </c>
      <c r="G407">
        <f t="shared" si="24"/>
        <v>2.1294813309962637E-3</v>
      </c>
      <c r="H407" s="8">
        <f t="shared" si="27"/>
        <v>888537.44133283454</v>
      </c>
      <c r="I407" s="8">
        <f t="shared" si="25"/>
        <v>1067100.1647020529</v>
      </c>
      <c r="J407" s="13">
        <f t="shared" si="26"/>
        <v>-0.167334547660833</v>
      </c>
    </row>
    <row r="408" spans="1:10" x14ac:dyDescent="0.25">
      <c r="A408" s="5">
        <v>45048</v>
      </c>
      <c r="B408">
        <f>(Prices!B852/Prices!B851)-1</f>
        <v>1.7828045624460831E-2</v>
      </c>
      <c r="C408">
        <f>(Prices!C852/Prices!C851)-1</f>
        <v>5.0481254627454675E-4</v>
      </c>
      <c r="D408">
        <f>(Prices!D852/Prices!D851)-1</f>
        <v>4.1590214067278364E-2</v>
      </c>
      <c r="E408">
        <f>(Prices!E852/Prices!E851)-1</f>
        <v>1.6413750387116899E-2</v>
      </c>
      <c r="F408">
        <f>(Prices!F852/Prices!F851)-1</f>
        <v>4.6774719895572581E-3</v>
      </c>
      <c r="G408">
        <f t="shared" si="24"/>
        <v>1.6202858922937581E-2</v>
      </c>
      <c r="H408" s="8">
        <f t="shared" si="27"/>
        <v>902934.28814249835</v>
      </c>
      <c r="I408" s="8">
        <f t="shared" si="25"/>
        <v>1067100.1647020529</v>
      </c>
      <c r="J408" s="13">
        <f t="shared" si="26"/>
        <v>-0.15384298680657749</v>
      </c>
    </row>
    <row r="409" spans="1:10" x14ac:dyDescent="0.25">
      <c r="A409" s="6">
        <v>45049</v>
      </c>
      <c r="B409">
        <f>(Prices!B851/Prices!B850)-1</f>
        <v>-8.6190384983719781E-4</v>
      </c>
      <c r="C409">
        <f>(Prices!C851/Prices!C850)-1</f>
        <v>3.3090221501890227E-3</v>
      </c>
      <c r="D409">
        <f>(Prices!D851/Prices!D850)-1</f>
        <v>2.0068628470416794E-2</v>
      </c>
      <c r="E409">
        <f>(Prices!E851/Prices!E850)-1</f>
        <v>2.1592976350549575E-2</v>
      </c>
      <c r="F409">
        <f>(Prices!F851/Prices!F850)-1</f>
        <v>8.0707064061231737E-3</v>
      </c>
      <c r="G409">
        <f t="shared" si="24"/>
        <v>1.0435885905488274E-2</v>
      </c>
      <c r="H409" s="8">
        <f t="shared" si="27"/>
        <v>912357.2073537067</v>
      </c>
      <c r="I409" s="8">
        <f t="shared" si="25"/>
        <v>1067100.1647020529</v>
      </c>
      <c r="J409" s="13">
        <f t="shared" si="26"/>
        <v>-0.14501258875876222</v>
      </c>
    </row>
    <row r="410" spans="1:10" x14ac:dyDescent="0.25">
      <c r="A410" s="5">
        <v>45050</v>
      </c>
      <c r="B410">
        <f>(Prices!B850/Prices!B849)-1</f>
        <v>6.9431051108967967E-3</v>
      </c>
      <c r="C410">
        <f>(Prices!C850/Prices!C849)-1</f>
        <v>-3.2981086356598244E-3</v>
      </c>
      <c r="D410">
        <f>(Prices!D850/Prices!D849)-1</f>
        <v>1.7779659223198241E-2</v>
      </c>
      <c r="E410">
        <f>(Prices!E850/Prices!E849)-1</f>
        <v>1.387329591018438E-2</v>
      </c>
      <c r="F410">
        <f>(Prices!F850/Prices!F849)-1</f>
        <v>4.427702881311335E-3</v>
      </c>
      <c r="G410">
        <f t="shared" si="24"/>
        <v>7.945130897986187E-3</v>
      </c>
      <c r="H410" s="8">
        <f t="shared" si="27"/>
        <v>919606.0047918529</v>
      </c>
      <c r="I410" s="8">
        <f t="shared" si="25"/>
        <v>1067100.1647020529</v>
      </c>
      <c r="J410" s="13">
        <f t="shared" si="26"/>
        <v>-0.13821960186032037</v>
      </c>
    </row>
    <row r="411" spans="1:10" x14ac:dyDescent="0.25">
      <c r="A411" s="6">
        <v>45051</v>
      </c>
      <c r="B411">
        <f>(Prices!B849/Prices!B848)-1</f>
        <v>-8.319785789423273E-3</v>
      </c>
      <c r="C411">
        <f>(Prices!C849/Prices!C848)-1</f>
        <v>-1.6874007411328829E-2</v>
      </c>
      <c r="D411">
        <f>(Prices!D849/Prices!D848)-1</f>
        <v>-2.4266831887649776E-2</v>
      </c>
      <c r="E411">
        <f>(Prices!E849/Prices!E848)-1</f>
        <v>-1.9114292456540505E-2</v>
      </c>
      <c r="F411">
        <f>(Prices!F849/Prices!F848)-1</f>
        <v>-1.4159138290479545E-2</v>
      </c>
      <c r="G411">
        <f t="shared" si="24"/>
        <v>-1.6546811167084386E-2</v>
      </c>
      <c r="H411" s="8">
        <f t="shared" si="27"/>
        <v>904389.45788244531</v>
      </c>
      <c r="I411" s="8">
        <f t="shared" si="25"/>
        <v>1067100.1647020529</v>
      </c>
      <c r="J411" s="13">
        <f t="shared" si="26"/>
        <v>-0.15247931937583237</v>
      </c>
    </row>
    <row r="412" spans="1:10" x14ac:dyDescent="0.25">
      <c r="A412" s="5">
        <v>45054</v>
      </c>
      <c r="B412">
        <f>(Prices!B848/Prices!B847)-1</f>
        <v>-2.0421545667447361E-2</v>
      </c>
      <c r="C412">
        <f>(Prices!C848/Prices!C847)-1</f>
        <v>6.493722734689733E-3</v>
      </c>
      <c r="D412">
        <f>(Prices!D848/Prices!D847)-1</f>
        <v>-3.9086607693890052E-3</v>
      </c>
      <c r="E412">
        <f>(Prices!E848/Prices!E847)-1</f>
        <v>-2.4325172630257352E-3</v>
      </c>
      <c r="F412">
        <f>(Prices!F848/Prices!F847)-1</f>
        <v>3.3774213932409314E-3</v>
      </c>
      <c r="G412">
        <f t="shared" si="24"/>
        <v>-3.3783159143862874E-3</v>
      </c>
      <c r="H412" s="8">
        <f t="shared" si="27"/>
        <v>901334.14458407788</v>
      </c>
      <c r="I412" s="8">
        <f t="shared" si="25"/>
        <v>1067100.1647020529</v>
      </c>
      <c r="J412" s="13">
        <f t="shared" si="26"/>
        <v>-0.15534251197895646</v>
      </c>
    </row>
    <row r="413" spans="1:10" x14ac:dyDescent="0.25">
      <c r="A413" s="6">
        <v>45055</v>
      </c>
      <c r="B413">
        <f>(Prices!B847/Prices!B846)-1</f>
        <v>3.8555576452885543E-3</v>
      </c>
      <c r="C413">
        <f>(Prices!C847/Prices!C846)-1</f>
        <v>5.3567243630521233E-3</v>
      </c>
      <c r="D413">
        <f>(Prices!D847/Prices!D846)-1</f>
        <v>-3.0848329048849266E-4</v>
      </c>
      <c r="E413">
        <f>(Prices!E847/Prices!E846)-1</f>
        <v>4.8095876369944612E-3</v>
      </c>
      <c r="F413">
        <f>(Prices!F847/Prices!F846)-1</f>
        <v>4.552916712268873E-3</v>
      </c>
      <c r="G413">
        <f t="shared" si="24"/>
        <v>3.6532606134231042E-3</v>
      </c>
      <c r="H413" s="8">
        <f t="shared" si="27"/>
        <v>904626.95311402041</v>
      </c>
      <c r="I413" s="8">
        <f t="shared" si="25"/>
        <v>1067100.1647020529</v>
      </c>
      <c r="J413" s="13">
        <f t="shared" si="26"/>
        <v>-0.15225675804613617</v>
      </c>
    </row>
    <row r="414" spans="1:10" x14ac:dyDescent="0.25">
      <c r="A414" s="5">
        <v>45056</v>
      </c>
      <c r="B414">
        <f>(Prices!B846/Prices!B845)-1</f>
        <v>-3.938572719060518E-2</v>
      </c>
      <c r="C414">
        <f>(Prices!C846/Prices!C845)-1</f>
        <v>-1.6982063518183432E-2</v>
      </c>
      <c r="D414">
        <f>(Prices!D846/Prices!D845)-1</f>
        <v>1.3020833333333259E-2</v>
      </c>
      <c r="E414">
        <f>(Prices!E846/Prices!E845)-1</f>
        <v>-4.7285050043344157E-4</v>
      </c>
      <c r="F414">
        <f>(Prices!F846/Prices!F845)-1</f>
        <v>6.3518486069735758E-4</v>
      </c>
      <c r="G414">
        <f t="shared" si="24"/>
        <v>-8.6369246030382867E-3</v>
      </c>
      <c r="H414" s="8">
        <f t="shared" si="27"/>
        <v>896813.75832609832</v>
      </c>
      <c r="I414" s="8">
        <f t="shared" si="25"/>
        <v>1067100.1647020529</v>
      </c>
      <c r="J414" s="13">
        <f t="shared" si="26"/>
        <v>-0.15957865250962697</v>
      </c>
    </row>
    <row r="415" spans="1:10" x14ac:dyDescent="0.25">
      <c r="A415" s="6">
        <v>45057</v>
      </c>
      <c r="B415">
        <f>(Prices!B845/Prices!B844)-1</f>
        <v>-4.1309431021044341E-2</v>
      </c>
      <c r="C415">
        <f>(Prices!C845/Prices!C844)-1</f>
        <v>7.0929037817772933E-3</v>
      </c>
      <c r="D415">
        <f>(Prices!D845/Prices!D844)-1</f>
        <v>1.8459579885423238E-2</v>
      </c>
      <c r="E415">
        <f>(Prices!E845/Prices!E844)-1</f>
        <v>3.1623053205787066E-3</v>
      </c>
      <c r="F415">
        <f>(Prices!F845/Prices!F844)-1</f>
        <v>2.6793165546625808E-3</v>
      </c>
      <c r="G415">
        <f t="shared" si="24"/>
        <v>-1.9830650957205044E-3</v>
      </c>
      <c r="H415" s="8">
        <f t="shared" si="27"/>
        <v>895035.31826459989</v>
      </c>
      <c r="I415" s="8">
        <f t="shared" si="25"/>
        <v>1067100.1647020529</v>
      </c>
      <c r="J415" s="13">
        <f t="shared" si="26"/>
        <v>-0.16124526274953355</v>
      </c>
    </row>
    <row r="416" spans="1:10" x14ac:dyDescent="0.25">
      <c r="A416" s="5">
        <v>45058</v>
      </c>
      <c r="B416">
        <f>(Prices!B844/Prices!B843)-1</f>
        <v>-7.9896907216495672E-3</v>
      </c>
      <c r="C416">
        <f>(Prices!C844/Prices!C843)-1</f>
        <v>3.6926147704590129E-3</v>
      </c>
      <c r="D416">
        <f>(Prices!D844/Prices!D843)-1</f>
        <v>0</v>
      </c>
      <c r="E416">
        <f>(Prices!E844/Prices!E843)-1</f>
        <v>1.4517163939685496E-2</v>
      </c>
      <c r="F416">
        <f>(Prices!F844/Prices!F843)-1</f>
        <v>-5.0257844594003842E-3</v>
      </c>
      <c r="G416">
        <f t="shared" si="24"/>
        <v>1.0388607058189115E-3</v>
      </c>
      <c r="H416" s="8">
        <f t="shared" si="27"/>
        <v>895965.13528706518</v>
      </c>
      <c r="I416" s="8">
        <f t="shared" si="25"/>
        <v>1067100.1647020529</v>
      </c>
      <c r="J416" s="13">
        <f t="shared" si="26"/>
        <v>-0.16037391341118451</v>
      </c>
    </row>
    <row r="417" spans="1:10" x14ac:dyDescent="0.25">
      <c r="A417" s="6">
        <v>45061</v>
      </c>
      <c r="B417">
        <f>(Prices!B843/Prices!B842)-1</f>
        <v>8.5781128151807273E-3</v>
      </c>
      <c r="C417">
        <f>(Prices!C843/Prices!C842)-1</f>
        <v>-1.5942606616180521E-3</v>
      </c>
      <c r="D417">
        <f>(Prices!D843/Prices!D842)-1</f>
        <v>-1.8002753362279522E-3</v>
      </c>
      <c r="E417">
        <f>(Prices!E843/Prices!E842)-1</f>
        <v>-8.3512288236697874E-3</v>
      </c>
      <c r="F417">
        <f>(Prices!F843/Prices!F842)-1</f>
        <v>8.9732566086822008E-3</v>
      </c>
      <c r="G417">
        <f t="shared" si="24"/>
        <v>1.1611209204694273E-3</v>
      </c>
      <c r="H417" s="8">
        <f t="shared" si="27"/>
        <v>897005.45914965821</v>
      </c>
      <c r="I417" s="8">
        <f t="shared" si="25"/>
        <v>1067100.1647020529</v>
      </c>
      <c r="J417" s="13">
        <f t="shared" si="26"/>
        <v>-0.15939900599667436</v>
      </c>
    </row>
    <row r="418" spans="1:10" x14ac:dyDescent="0.25">
      <c r="A418" s="5">
        <v>45062</v>
      </c>
      <c r="B418">
        <f>(Prices!B842/Prices!B841)-1</f>
        <v>-2.5088697415103889E-2</v>
      </c>
      <c r="C418">
        <f>(Prices!C842/Prices!C841)-1</f>
        <v>-7.319485657764635E-3</v>
      </c>
      <c r="D418">
        <f>(Prices!D842/Prices!D841)-1</f>
        <v>2.4853483828956024E-2</v>
      </c>
      <c r="E418">
        <f>(Prices!E842/Prices!E841)-1</f>
        <v>6.8065342729020095E-3</v>
      </c>
      <c r="F418">
        <f>(Prices!F842/Prices!F841)-1</f>
        <v>1.4879620513738478E-2</v>
      </c>
      <c r="G418">
        <f t="shared" si="24"/>
        <v>2.8262911085455977E-3</v>
      </c>
      <c r="H418" s="8">
        <f t="shared" si="27"/>
        <v>899540.65770316962</v>
      </c>
      <c r="I418" s="8">
        <f t="shared" si="25"/>
        <v>1067100.1647020529</v>
      </c>
      <c r="J418" s="13">
        <f t="shared" si="26"/>
        <v>-0.15702322288148829</v>
      </c>
    </row>
    <row r="419" spans="1:10" x14ac:dyDescent="0.25">
      <c r="A419" s="6">
        <v>45063</v>
      </c>
      <c r="B419">
        <f>(Prices!B841/Prices!B840)-1</f>
        <v>-1.102756892230583E-2</v>
      </c>
      <c r="C419">
        <f>(Prices!C841/Prices!C840)-1</f>
        <v>-9.3738772577326435E-3</v>
      </c>
      <c r="D419">
        <f>(Prices!D841/Prices!D840)-1</f>
        <v>-2.1972189788769692E-2</v>
      </c>
      <c r="E419">
        <f>(Prices!E841/Prices!E840)-1</f>
        <v>-2.9832193909260396E-2</v>
      </c>
      <c r="F419">
        <f>(Prices!F841/Prices!F840)-1</f>
        <v>-1.0494619846787456E-2</v>
      </c>
      <c r="G419">
        <f t="shared" si="24"/>
        <v>-1.6540089944971206E-2</v>
      </c>
      <c r="H419" s="8">
        <f t="shared" si="27"/>
        <v>884662.17431560066</v>
      </c>
      <c r="I419" s="8">
        <f t="shared" si="25"/>
        <v>1067100.1647020529</v>
      </c>
      <c r="J419" s="13">
        <f t="shared" si="26"/>
        <v>-0.17096613459655041</v>
      </c>
    </row>
    <row r="420" spans="1:10" x14ac:dyDescent="0.25">
      <c r="A420" s="5">
        <v>45064</v>
      </c>
      <c r="B420">
        <f>(Prices!B840/Prices!B839)-1</f>
        <v>-1.6191337223637747E-2</v>
      </c>
      <c r="C420">
        <f>(Prices!C840/Prices!C839)-1</f>
        <v>-1.4167498470554096E-2</v>
      </c>
      <c r="D420">
        <f>(Prices!D840/Prices!D839)-1</f>
        <v>-8.9417210183043716E-3</v>
      </c>
      <c r="E420">
        <f>(Prices!E840/Prices!E839)-1</f>
        <v>-7.5558982266769048E-3</v>
      </c>
      <c r="F420">
        <f>(Prices!F840/Prices!F839)-1</f>
        <v>1.1647180038525384E-2</v>
      </c>
      <c r="G420">
        <f t="shared" si="24"/>
        <v>-7.0418549801295471E-3</v>
      </c>
      <c r="H420" s="8">
        <f t="shared" si="27"/>
        <v>878432.51157766406</v>
      </c>
      <c r="I420" s="8">
        <f t="shared" si="25"/>
        <v>1067100.1647020529</v>
      </c>
      <c r="J420" s="13">
        <f t="shared" si="26"/>
        <v>-0.17680407085033778</v>
      </c>
    </row>
    <row r="421" spans="1:10" x14ac:dyDescent="0.25">
      <c r="A421" s="6">
        <v>45065</v>
      </c>
      <c r="B421">
        <f>(Prices!B839/Prices!B838)-1</f>
        <v>5.7565789473690288E-4</v>
      </c>
      <c r="C421">
        <f>(Prices!C839/Prices!C838)-1</f>
        <v>5.4768041237118759E-4</v>
      </c>
      <c r="D421">
        <f>(Prices!D839/Prices!D838)-1</f>
        <v>-4.6073298429318843E-3</v>
      </c>
      <c r="E421">
        <f>(Prices!E839/Prices!E838)-1</f>
        <v>2.3183925811436357E-3</v>
      </c>
      <c r="F421">
        <f>(Prices!F839/Prices!F838)-1</f>
        <v>8.5186513629831317E-4</v>
      </c>
      <c r="G421">
        <f t="shared" si="24"/>
        <v>-6.2746763676368967E-5</v>
      </c>
      <c r="H421" s="8">
        <f t="shared" si="27"/>
        <v>878377.39278045448</v>
      </c>
      <c r="I421" s="8">
        <f t="shared" si="25"/>
        <v>1067100.1647020529</v>
      </c>
      <c r="J421" s="13">
        <f t="shared" si="26"/>
        <v>-0.17685572373076347</v>
      </c>
    </row>
    <row r="422" spans="1:10" x14ac:dyDescent="0.25">
      <c r="A422" s="5">
        <v>45068</v>
      </c>
      <c r="B422">
        <f>(Prices!B838/Prices!B837)-1</f>
        <v>-1.8325664002583397E-2</v>
      </c>
      <c r="C422">
        <f>(Prices!C838/Prices!C837)-1</f>
        <v>-8.8450362422966E-3</v>
      </c>
      <c r="D422">
        <f>(Prices!D838/Prices!D837)-1</f>
        <v>1.2188659247482914E-2</v>
      </c>
      <c r="E422">
        <f>(Prices!E838/Prices!E837)-1</f>
        <v>8.3378789059456171E-3</v>
      </c>
      <c r="F422">
        <f>(Prices!F838/Prices!F837)-1</f>
        <v>-3.7520100053600736E-3</v>
      </c>
      <c r="G422">
        <f t="shared" si="24"/>
        <v>-2.0792344193623085E-3</v>
      </c>
      <c r="H422" s="8">
        <f t="shared" si="27"/>
        <v>876551.04027219559</v>
      </c>
      <c r="I422" s="8">
        <f t="shared" si="25"/>
        <v>1067100.1647020529</v>
      </c>
      <c r="J422" s="13">
        <f t="shared" si="26"/>
        <v>-0.17856723364208357</v>
      </c>
    </row>
    <row r="423" spans="1:10" x14ac:dyDescent="0.25">
      <c r="A423" s="6">
        <v>45069</v>
      </c>
      <c r="B423">
        <f>(Prices!B837/Prices!B836)-1</f>
        <v>2.034596375617781E-2</v>
      </c>
      <c r="C423">
        <f>(Prices!C837/Prices!C836)-1</f>
        <v>1.880347441361141E-2</v>
      </c>
      <c r="D423">
        <f>(Prices!D837/Prices!D836)-1</f>
        <v>-1.3384921049879761E-2</v>
      </c>
      <c r="E423">
        <f>(Prices!E837/Prices!E836)-1</f>
        <v>1.0552011969446662E-2</v>
      </c>
      <c r="F423">
        <f>(Prices!F837/Prices!F836)-1</f>
        <v>2.4627233242286994E-3</v>
      </c>
      <c r="G423">
        <f t="shared" si="24"/>
        <v>7.7558504827169644E-3</v>
      </c>
      <c r="H423" s="8">
        <f t="shared" si="27"/>
        <v>883349.4390810167</v>
      </c>
      <c r="I423" s="8">
        <f t="shared" si="25"/>
        <v>1067100.1647020529</v>
      </c>
      <c r="J423" s="13">
        <f t="shared" si="26"/>
        <v>-0.17219632392460707</v>
      </c>
    </row>
    <row r="424" spans="1:10" x14ac:dyDescent="0.25">
      <c r="A424" s="5">
        <v>45070</v>
      </c>
      <c r="B424">
        <f>(Prices!B836/Prices!B835)-1</f>
        <v>1.3694054776219211E-2</v>
      </c>
      <c r="C424">
        <f>(Prices!C836/Prices!C835)-1</f>
        <v>4.4768315796352987E-3</v>
      </c>
      <c r="D424">
        <f>(Prices!D836/Prices!D835)-1</f>
        <v>-1.1065149948293773E-2</v>
      </c>
      <c r="E424">
        <f>(Prices!E836/Prices!E835)-1</f>
        <v>9.2187872526423575E-3</v>
      </c>
      <c r="F424">
        <f>(Prices!F836/Prices!F835)-1</f>
        <v>-2.8797856903671759E-3</v>
      </c>
      <c r="G424">
        <f t="shared" si="24"/>
        <v>2.6889475939671837E-3</v>
      </c>
      <c r="H424" s="8">
        <f t="shared" si="27"/>
        <v>885724.71942986583</v>
      </c>
      <c r="I424" s="8">
        <f t="shared" si="25"/>
        <v>1067100.1647020529</v>
      </c>
      <c r="J424" s="13">
        <f t="shared" si="26"/>
        <v>-0.16997040322154697</v>
      </c>
    </row>
    <row r="425" spans="1:10" x14ac:dyDescent="0.25">
      <c r="A425" s="6">
        <v>45071</v>
      </c>
      <c r="B425">
        <f>(Prices!B835/Prices!B834)-1</f>
        <v>-2.0928711576193471E-2</v>
      </c>
      <c r="C425">
        <f>(Prices!C835/Prices!C834)-1</f>
        <v>-3.7037037037037202E-2</v>
      </c>
      <c r="D425">
        <f>(Prices!D835/Prices!D834)-1</f>
        <v>1.8216278824892074E-2</v>
      </c>
      <c r="E425">
        <f>(Prices!E835/Prices!E834)-1</f>
        <v>-2.4575868083082097E-3</v>
      </c>
      <c r="F425">
        <f>(Prices!F835/Prices!F834)-1</f>
        <v>6.5387380909580628E-3</v>
      </c>
      <c r="G425">
        <f t="shared" si="24"/>
        <v>-7.1336637011377487E-3</v>
      </c>
      <c r="H425" s="8">
        <f t="shared" si="27"/>
        <v>879406.25714966853</v>
      </c>
      <c r="I425" s="8">
        <f t="shared" si="25"/>
        <v>1067100.1647020529</v>
      </c>
      <c r="J425" s="13">
        <f t="shared" si="26"/>
        <v>-0.17589155522695546</v>
      </c>
    </row>
    <row r="426" spans="1:10" x14ac:dyDescent="0.25">
      <c r="A426" s="5">
        <v>45072</v>
      </c>
      <c r="B426">
        <f>(Prices!B834/Prices!B833)-1</f>
        <v>-9.0732339598186273E-3</v>
      </c>
      <c r="C426">
        <f>(Prices!C834/Prices!C833)-1</f>
        <v>-2.0919341918787193E-2</v>
      </c>
      <c r="D426">
        <f>(Prices!D834/Prices!D833)-1</f>
        <v>6.5712771595125563E-3</v>
      </c>
      <c r="E426">
        <f>(Prices!E834/Prices!E833)-1</f>
        <v>-9.2679861765628813E-3</v>
      </c>
      <c r="F426">
        <f>(Prices!F834/Prices!F833)-1</f>
        <v>-7.9136851022090227E-3</v>
      </c>
      <c r="G426">
        <f t="shared" si="24"/>
        <v>-8.1205939995730343E-3</v>
      </c>
      <c r="H426" s="8">
        <f t="shared" si="27"/>
        <v>872264.95597467199</v>
      </c>
      <c r="I426" s="8">
        <f t="shared" si="25"/>
        <v>1067100.1647020529</v>
      </c>
      <c r="J426" s="13">
        <f t="shared" si="26"/>
        <v>-0.18258380531857688</v>
      </c>
    </row>
    <row r="427" spans="1:10" x14ac:dyDescent="0.25">
      <c r="A427" s="6">
        <v>45076</v>
      </c>
      <c r="B427">
        <f>(Prices!B833/Prices!B832)-1</f>
        <v>7.6734693877551496E-3</v>
      </c>
      <c r="C427">
        <f>(Prices!C833/Prices!C832)-1</f>
        <v>5.0472209320329142E-3</v>
      </c>
      <c r="D427">
        <f>(Prices!D833/Prices!D832)-1</f>
        <v>8.9829964709655652E-3</v>
      </c>
      <c r="E427">
        <f>(Prices!E833/Prices!E832)-1</f>
        <v>-3.755868544600971E-3</v>
      </c>
      <c r="F427">
        <f>(Prices!F833/Prices!F832)-1</f>
        <v>3.4672512526843224E-3</v>
      </c>
      <c r="G427">
        <f t="shared" si="24"/>
        <v>4.2830138997673965E-3</v>
      </c>
      <c r="H427" s="8">
        <f t="shared" si="27"/>
        <v>876000.87890539144</v>
      </c>
      <c r="I427" s="8">
        <f t="shared" si="25"/>
        <v>1067100.1647020529</v>
      </c>
      <c r="J427" s="13">
        <f t="shared" si="26"/>
        <v>-0.17908280039486144</v>
      </c>
    </row>
    <row r="428" spans="1:10" x14ac:dyDescent="0.25">
      <c r="A428" s="5">
        <v>45077</v>
      </c>
      <c r="B428">
        <f>(Prices!B832/Prices!B831)-1</f>
        <v>6.4908388793032401E-3</v>
      </c>
      <c r="C428">
        <f>(Prices!C832/Prices!C831)-1</f>
        <v>8.5883822610868243E-3</v>
      </c>
      <c r="D428">
        <f>(Prices!D832/Prices!D831)-1</f>
        <v>1.8183797909407717E-2</v>
      </c>
      <c r="E428">
        <f>(Prices!E832/Prices!E831)-1</f>
        <v>1.2838801711840153E-2</v>
      </c>
      <c r="F428">
        <f>(Prices!F832/Prices!F831)-1</f>
        <v>-1.5156855833627025E-2</v>
      </c>
      <c r="G428">
        <f t="shared" si="24"/>
        <v>6.1889929856021823E-3</v>
      </c>
      <c r="H428" s="8">
        <f t="shared" si="27"/>
        <v>881422.44220031833</v>
      </c>
      <c r="I428" s="8">
        <f t="shared" si="25"/>
        <v>1067100.1647020529</v>
      </c>
      <c r="J428" s="13">
        <f t="shared" si="26"/>
        <v>-0.17400214960474497</v>
      </c>
    </row>
    <row r="429" spans="1:10" x14ac:dyDescent="0.25">
      <c r="A429" s="6">
        <v>45078</v>
      </c>
      <c r="B429">
        <f>(Prices!B831/Prices!B830)-1</f>
        <v>-6.854345165238751E-3</v>
      </c>
      <c r="C429">
        <f>(Prices!C831/Prices!C830)-1</f>
        <v>-1.2581719501665201E-2</v>
      </c>
      <c r="D429">
        <f>(Prices!D831/Prices!D830)-1</f>
        <v>-1.1410118406889103E-2</v>
      </c>
      <c r="E429">
        <f>(Prices!E831/Prices!E830)-1</f>
        <v>-1.3525134860448706E-2</v>
      </c>
      <c r="F429">
        <f>(Prices!F831/Prices!F830)-1</f>
        <v>-1.2959902583282501E-2</v>
      </c>
      <c r="G429">
        <f t="shared" si="24"/>
        <v>-1.1466244103504851E-2</v>
      </c>
      <c r="H429" s="8">
        <f t="shared" si="27"/>
        <v>871315.83731974207</v>
      </c>
      <c r="I429" s="8">
        <f t="shared" si="25"/>
        <v>1067100.1647020529</v>
      </c>
      <c r="J429" s="13">
        <f t="shared" si="26"/>
        <v>-0.18347324258634726</v>
      </c>
    </row>
    <row r="430" spans="1:10" x14ac:dyDescent="0.25">
      <c r="A430" s="5">
        <v>45079</v>
      </c>
      <c r="B430">
        <f>(Prices!B830/Prices!B829)-1</f>
        <v>-7.6119523848084958E-3</v>
      </c>
      <c r="C430">
        <f>(Prices!C830/Prices!C829)-1</f>
        <v>-8.4090144635048381E-3</v>
      </c>
      <c r="D430">
        <f>(Prices!D830/Prices!D829)-1</f>
        <v>-2.2722491058278949E-2</v>
      </c>
      <c r="E430">
        <f>(Prices!E830/Prices!E829)-1</f>
        <v>-2.0597243491577322E-2</v>
      </c>
      <c r="F430">
        <f>(Prices!F830/Prices!F829)-1</f>
        <v>-1.1903227192643251E-2</v>
      </c>
      <c r="G430">
        <f t="shared" si="24"/>
        <v>-1.4248785718162573E-2</v>
      </c>
      <c r="H430" s="8">
        <f t="shared" si="27"/>
        <v>858900.64466093166</v>
      </c>
      <c r="I430" s="8">
        <f t="shared" si="25"/>
        <v>1067100.1647020529</v>
      </c>
      <c r="J430" s="13">
        <f t="shared" si="26"/>
        <v>-0.19510775738588051</v>
      </c>
    </row>
    <row r="431" spans="1:10" x14ac:dyDescent="0.25">
      <c r="A431" s="6">
        <v>45082</v>
      </c>
      <c r="B431">
        <f>(Prices!B829/Prices!B828)-1</f>
        <v>-1.0655343694920716E-2</v>
      </c>
      <c r="C431">
        <f>(Prices!C829/Prices!C828)-1</f>
        <v>-1.6180241787765448E-3</v>
      </c>
      <c r="D431">
        <f>(Prices!D829/Prices!D828)-1</f>
        <v>4.5440135263659087E-3</v>
      </c>
      <c r="E431">
        <f>(Prices!E829/Prices!E828)-1</f>
        <v>9.8979276214041789E-3</v>
      </c>
      <c r="F431">
        <f>(Prices!F829/Prices!F828)-1</f>
        <v>2.8009997414462084E-3</v>
      </c>
      <c r="G431">
        <f t="shared" si="24"/>
        <v>9.9391460310380717E-4</v>
      </c>
      <c r="H431" s="8">
        <f t="shared" si="27"/>
        <v>859754.31855427532</v>
      </c>
      <c r="I431" s="8">
        <f t="shared" si="25"/>
        <v>1067100.1647020529</v>
      </c>
      <c r="J431" s="13">
        <f t="shared" si="26"/>
        <v>-0.19430776323202148</v>
      </c>
    </row>
    <row r="432" spans="1:10" x14ac:dyDescent="0.25">
      <c r="A432" s="5">
        <v>45083</v>
      </c>
      <c r="B432">
        <f>(Prices!B828/Prices!B827)-1</f>
        <v>-1.022916501466975E-2</v>
      </c>
      <c r="C432">
        <f>(Prices!C828/Prices!C827)-1</f>
        <v>6.792684800983384E-3</v>
      </c>
      <c r="D432">
        <f>(Prices!D828/Prices!D827)-1</f>
        <v>-8.1752436851483257E-3</v>
      </c>
      <c r="E432">
        <f>(Prices!E828/Prices!E827)-1</f>
        <v>-1.7753763025860625E-3</v>
      </c>
      <c r="F432">
        <f>(Prices!F828/Prices!F827)-1</f>
        <v>2.177311053871378E-2</v>
      </c>
      <c r="G432">
        <f t="shared" si="24"/>
        <v>1.6772020674586056E-3</v>
      </c>
      <c r="H432" s="8">
        <f t="shared" si="27"/>
        <v>861196.30027486105</v>
      </c>
      <c r="I432" s="8">
        <f t="shared" si="25"/>
        <v>1067100.1647020529</v>
      </c>
      <c r="J432" s="13">
        <f t="shared" si="26"/>
        <v>-0.19295645454677884</v>
      </c>
    </row>
    <row r="433" spans="1:10" x14ac:dyDescent="0.25">
      <c r="A433" s="6">
        <v>45084</v>
      </c>
      <c r="B433">
        <f>(Prices!B827/Prices!B826)-1</f>
        <v>3.9225381128965786E-2</v>
      </c>
      <c r="C433">
        <f>(Prices!C827/Prices!C826)-1</f>
        <v>3.1841679616884999E-2</v>
      </c>
      <c r="D433">
        <f>(Prices!D827/Prices!D826)-1</f>
        <v>-2.1837194996924492E-2</v>
      </c>
      <c r="E433">
        <f>(Prices!E827/Prices!E826)-1</f>
        <v>-9.6322911092423524E-3</v>
      </c>
      <c r="F433">
        <f>(Prices!F827/Prices!F826)-1</f>
        <v>1.1287737109270557E-2</v>
      </c>
      <c r="G433">
        <f t="shared" si="24"/>
        <v>1.0177062349790898E-2</v>
      </c>
      <c r="H433" s="8">
        <f t="shared" si="27"/>
        <v>869960.74871816766</v>
      </c>
      <c r="I433" s="8">
        <f t="shared" si="25"/>
        <v>1067100.1647020529</v>
      </c>
      <c r="J433" s="13">
        <f t="shared" si="26"/>
        <v>-0.18474312206570501</v>
      </c>
    </row>
    <row r="434" spans="1:10" x14ac:dyDescent="0.25">
      <c r="A434" s="5">
        <v>45085</v>
      </c>
      <c r="B434">
        <f>(Prices!B826/Prices!B825)-1</f>
        <v>2.9754525167369206E-3</v>
      </c>
      <c r="C434">
        <f>(Prices!C826/Prices!C825)-1</f>
        <v>-5.7703222551553912E-3</v>
      </c>
      <c r="D434">
        <f>(Prices!D826/Prices!D825)-1</f>
        <v>3.0851501439737028E-3</v>
      </c>
      <c r="E434">
        <f>(Prices!E826/Prices!E825)-1</f>
        <v>-2.2928767960872509E-4</v>
      </c>
      <c r="F434">
        <f>(Prices!F826/Prices!F825)-1</f>
        <v>-1.6531278053907195E-2</v>
      </c>
      <c r="G434">
        <f t="shared" si="24"/>
        <v>-3.2940570655921376E-3</v>
      </c>
      <c r="H434" s="8">
        <f t="shared" si="27"/>
        <v>867095.04836706468</v>
      </c>
      <c r="I434" s="8">
        <f t="shared" si="25"/>
        <v>1067100.1647020529</v>
      </c>
      <c r="J434" s="13">
        <f t="shared" si="26"/>
        <v>-0.18742862474473712</v>
      </c>
    </row>
    <row r="435" spans="1:10" x14ac:dyDescent="0.25">
      <c r="A435" s="6">
        <v>45086</v>
      </c>
      <c r="B435">
        <f>(Prices!B825/Prices!B824)-1</f>
        <v>-7.4331020812690163E-4</v>
      </c>
      <c r="C435">
        <f>(Prices!C825/Prices!C824)-1</f>
        <v>-4.7075069043434059E-3</v>
      </c>
      <c r="D435">
        <f>(Prices!D825/Prices!D824)-1</f>
        <v>7.4595938665560357E-3</v>
      </c>
      <c r="E435">
        <f>(Prices!E825/Prices!E824)-1</f>
        <v>-1.9832189168572656E-3</v>
      </c>
      <c r="F435">
        <f>(Prices!F825/Prices!F824)-1</f>
        <v>-6.8715071650684578E-3</v>
      </c>
      <c r="G435">
        <f t="shared" si="24"/>
        <v>-1.369189865567999E-3</v>
      </c>
      <c r="H435" s="8">
        <f t="shared" si="27"/>
        <v>865907.83061435632</v>
      </c>
      <c r="I435" s="8">
        <f t="shared" si="25"/>
        <v>1067100.1647020529</v>
      </c>
      <c r="J435" s="13">
        <f t="shared" si="26"/>
        <v>-0.18854118923678725</v>
      </c>
    </row>
    <row r="436" spans="1:10" x14ac:dyDescent="0.25">
      <c r="A436" s="5">
        <v>45089</v>
      </c>
      <c r="B436">
        <f>(Prices!B824/Prices!B823)-1</f>
        <v>-1.1349718298358735E-2</v>
      </c>
      <c r="C436">
        <f>(Prices!C824/Prices!C823)-1</f>
        <v>-1.5236270358809589E-2</v>
      </c>
      <c r="D436">
        <f>(Prices!D824/Prices!D823)-1</f>
        <v>9.0956612650285873E-3</v>
      </c>
      <c r="E436">
        <f>(Prices!E824/Prices!E823)-1</f>
        <v>7.6283469372162571E-5</v>
      </c>
      <c r="F436">
        <f>(Prices!F824/Prices!F823)-1</f>
        <v>2.0919134470811507E-3</v>
      </c>
      <c r="G436">
        <f t="shared" si="24"/>
        <v>-3.0644260951372855E-3</v>
      </c>
      <c r="H436" s="8">
        <f t="shared" si="27"/>
        <v>863254.32006223802</v>
      </c>
      <c r="I436" s="8">
        <f t="shared" si="25"/>
        <v>1067100.1647020529</v>
      </c>
      <c r="J436" s="13">
        <f t="shared" si="26"/>
        <v>-0.19102784479161908</v>
      </c>
    </row>
    <row r="437" spans="1:10" x14ac:dyDescent="0.25">
      <c r="A437" s="6">
        <v>45090</v>
      </c>
      <c r="B437">
        <f>(Prices!B823/Prices!B822)-1</f>
        <v>-1.5489972281101938E-3</v>
      </c>
      <c r="C437">
        <f>(Prices!C823/Prices!C822)-1</f>
        <v>-7.3017333946924223E-3</v>
      </c>
      <c r="D437">
        <f>(Prices!D823/Prices!D822)-1</f>
        <v>-2.0905194940934457E-4</v>
      </c>
      <c r="E437">
        <f>(Prices!E823/Prices!E822)-1</f>
        <v>-7.1947894577399918E-3</v>
      </c>
      <c r="F437">
        <f>(Prices!F823/Prices!F822)-1</f>
        <v>2.6217473946386072E-3</v>
      </c>
      <c r="G437">
        <f t="shared" si="24"/>
        <v>-2.7265649270626692E-3</v>
      </c>
      <c r="H437" s="8">
        <f t="shared" si="27"/>
        <v>860900.601110021</v>
      </c>
      <c r="I437" s="8">
        <f t="shared" si="25"/>
        <v>1067100.1647020529</v>
      </c>
      <c r="J437" s="13">
        <f t="shared" si="26"/>
        <v>-0.19323355989698054</v>
      </c>
    </row>
    <row r="438" spans="1:10" x14ac:dyDescent="0.25">
      <c r="A438" s="5">
        <v>45091</v>
      </c>
      <c r="B438">
        <f>(Prices!B822/Prices!B821)-1</f>
        <v>1.3061224489796519E-3</v>
      </c>
      <c r="C438">
        <f>(Prices!C822/Prices!C821)-1</f>
        <v>-9.0295512586647808E-3</v>
      </c>
      <c r="D438">
        <f>(Prices!D822/Prices!D821)-1</f>
        <v>1.2166737198476607E-2</v>
      </c>
      <c r="E438">
        <f>(Prices!E822/Prices!E821)-1</f>
        <v>3.7248194602810258E-3</v>
      </c>
      <c r="F438">
        <f>(Prices!F822/Prices!F821)-1</f>
        <v>6.8392427814476742E-2</v>
      </c>
      <c r="G438">
        <f t="shared" si="24"/>
        <v>1.531211113270985E-2</v>
      </c>
      <c r="H438" s="8">
        <f t="shared" si="27"/>
        <v>874082.80678843439</v>
      </c>
      <c r="I438" s="8">
        <f t="shared" si="25"/>
        <v>1067100.1647020529</v>
      </c>
      <c r="J438" s="13">
        <f t="shared" si="26"/>
        <v>-0.18088026250798236</v>
      </c>
    </row>
    <row r="439" spans="1:10" x14ac:dyDescent="0.25">
      <c r="A439" s="6">
        <v>45092</v>
      </c>
      <c r="B439">
        <f>(Prices!B821/Prices!B820)-1</f>
        <v>-1.1379226858203473E-2</v>
      </c>
      <c r="C439">
        <f>(Prices!C821/Prices!C820)-1</f>
        <v>-3.0906573171091023E-2</v>
      </c>
      <c r="D439">
        <f>(Prices!D821/Prices!D820)-1</f>
        <v>-6.8298833666071701E-3</v>
      </c>
      <c r="E439">
        <f>(Prices!E821/Prices!E820)-1</f>
        <v>-1.1199639206253664E-2</v>
      </c>
      <c r="F439">
        <f>(Prices!F821/Prices!F820)-1</f>
        <v>-1.6979876551708295E-2</v>
      </c>
      <c r="G439">
        <f t="shared" si="24"/>
        <v>-1.5459039830772727E-2</v>
      </c>
      <c r="H439" s="8">
        <f t="shared" si="27"/>
        <v>860570.32586289837</v>
      </c>
      <c r="I439" s="8">
        <f t="shared" si="25"/>
        <v>1067100.1647020529</v>
      </c>
      <c r="J439" s="13">
        <f t="shared" si="26"/>
        <v>-0.19354306715604355</v>
      </c>
    </row>
    <row r="440" spans="1:10" x14ac:dyDescent="0.25">
      <c r="A440" s="5">
        <v>45093</v>
      </c>
      <c r="B440">
        <f>(Prices!B820/Prices!B819)-1</f>
        <v>1.2584783852251258E-2</v>
      </c>
      <c r="C440">
        <f>(Prices!C820/Prices!C819)-1</f>
        <v>1.6836933401240373E-2</v>
      </c>
      <c r="D440">
        <f>(Prices!D820/Prices!D819)-1</f>
        <v>7.1965287331994254E-3</v>
      </c>
      <c r="E440">
        <f>(Prices!E820/Prices!E819)-1</f>
        <v>-1.2012012012011519E-3</v>
      </c>
      <c r="F440">
        <f>(Prices!F820/Prices!F819)-1</f>
        <v>1.6134673226235297E-2</v>
      </c>
      <c r="G440">
        <f t="shared" si="24"/>
        <v>1.0310343602345041E-2</v>
      </c>
      <c r="H440" s="8">
        <f t="shared" si="27"/>
        <v>869443.10161652695</v>
      </c>
      <c r="I440" s="8">
        <f t="shared" si="25"/>
        <v>1067100.1647020529</v>
      </c>
      <c r="J440" s="13">
        <f t="shared" si="26"/>
        <v>-0.18522821907792902</v>
      </c>
    </row>
    <row r="441" spans="1:10" x14ac:dyDescent="0.25">
      <c r="A441" s="6">
        <v>45097</v>
      </c>
      <c r="B441">
        <f>(Prices!B819/Prices!B818)-1</f>
        <v>3.5263244218468603E-3</v>
      </c>
      <c r="C441">
        <f>(Prices!C819/Prices!C818)-1</f>
        <v>1.2650931375523422E-2</v>
      </c>
      <c r="D441">
        <f>(Prices!D819/Prices!D818)-1</f>
        <v>2.3505199306759206E-2</v>
      </c>
      <c r="E441">
        <f>(Prices!E819/Prices!E818)-1</f>
        <v>5.1313009357076833E-3</v>
      </c>
      <c r="F441">
        <f>(Prices!F819/Prices!F818)-1</f>
        <v>-2.3229861759548109E-2</v>
      </c>
      <c r="G441">
        <f t="shared" si="24"/>
        <v>4.3167788560578109E-3</v>
      </c>
      <c r="H441" s="8">
        <f t="shared" si="27"/>
        <v>873196.29521413054</v>
      </c>
      <c r="I441" s="8">
        <f t="shared" si="25"/>
        <v>1067100.1647020529</v>
      </c>
      <c r="J441" s="13">
        <f t="shared" si="26"/>
        <v>-0.181711029481532</v>
      </c>
    </row>
    <row r="442" spans="1:10" x14ac:dyDescent="0.25">
      <c r="A442" s="5">
        <v>45098</v>
      </c>
      <c r="B442">
        <f>(Prices!B818/Prices!B817)-1</f>
        <v>2.1187505234067538E-2</v>
      </c>
      <c r="C442">
        <f>(Prices!C818/Prices!C817)-1</f>
        <v>1.3466978231459814E-2</v>
      </c>
      <c r="D442">
        <f>(Prices!D818/Prices!D817)-1</f>
        <v>-1.1139674378748965E-2</v>
      </c>
      <c r="E442">
        <f>(Prices!E818/Prices!E817)-1</f>
        <v>1.5114873035066978E-3</v>
      </c>
      <c r="F442">
        <f>(Prices!F818/Prices!F817)-1</f>
        <v>-1.5427046662331634E-2</v>
      </c>
      <c r="G442">
        <f t="shared" si="24"/>
        <v>1.9198499455906912E-3</v>
      </c>
      <c r="H442" s="8">
        <f t="shared" si="27"/>
        <v>874872.70107398753</v>
      </c>
      <c r="I442" s="8">
        <f t="shared" si="25"/>
        <v>1067100.1647020529</v>
      </c>
      <c r="J442" s="13">
        <f t="shared" si="26"/>
        <v>-0.18014003744600454</v>
      </c>
    </row>
    <row r="443" spans="1:10" x14ac:dyDescent="0.25">
      <c r="A443" s="6">
        <v>45099</v>
      </c>
      <c r="B443">
        <f>(Prices!B817/Prices!B816)-1</f>
        <v>-2.1149274530699258E-2</v>
      </c>
      <c r="C443">
        <f>(Prices!C817/Prices!C816)-1</f>
        <v>-1.8084110738761594E-2</v>
      </c>
      <c r="D443">
        <f>(Prices!D817/Prices!D816)-1</f>
        <v>5.601034037052921E-3</v>
      </c>
      <c r="E443">
        <f>(Prices!E817/Prices!E816)-1</f>
        <v>1.9650150265854816E-2</v>
      </c>
      <c r="F443">
        <f>(Prices!F817/Prices!F816)-1</f>
        <v>-4.7978220119609949E-3</v>
      </c>
      <c r="G443">
        <f t="shared" si="24"/>
        <v>-3.7560045957028216E-3</v>
      </c>
      <c r="H443" s="8">
        <f t="shared" si="27"/>
        <v>871586.67518809868</v>
      </c>
      <c r="I443" s="8">
        <f t="shared" si="25"/>
        <v>1067100.1647020529</v>
      </c>
      <c r="J443" s="13">
        <f t="shared" si="26"/>
        <v>-0.18321943523319009</v>
      </c>
    </row>
    <row r="444" spans="1:10" x14ac:dyDescent="0.25">
      <c r="A444" s="5">
        <v>45100</v>
      </c>
      <c r="B444">
        <f>(Prices!B816/Prices!B815)-1</f>
        <v>6.6012047198613644E-3</v>
      </c>
      <c r="C444">
        <f>(Prices!C816/Prices!C815)-1</f>
        <v>1.399008143023317E-2</v>
      </c>
      <c r="D444">
        <f>(Prices!D816/Prices!D815)-1</f>
        <v>8.6918730986527137E-3</v>
      </c>
      <c r="E444">
        <f>(Prices!E816/Prices!E815)-1</f>
        <v>5.1897753679319703E-3</v>
      </c>
      <c r="F444">
        <f>(Prices!F816/Prices!F815)-1</f>
        <v>4.2804957307098768E-3</v>
      </c>
      <c r="G444">
        <f t="shared" si="24"/>
        <v>7.750686069477819E-3</v>
      </c>
      <c r="H444" s="8">
        <f t="shared" si="27"/>
        <v>878342.06988982158</v>
      </c>
      <c r="I444" s="8">
        <f t="shared" si="25"/>
        <v>1067100.1647020529</v>
      </c>
      <c r="J444" s="13">
        <f t="shared" si="26"/>
        <v>-0.17688882548803175</v>
      </c>
    </row>
    <row r="445" spans="1:10" x14ac:dyDescent="0.25">
      <c r="A445" s="6">
        <v>45103</v>
      </c>
      <c r="B445">
        <f>(Prices!B815/Prices!B814)-1</f>
        <v>3.3867940624466852E-2</v>
      </c>
      <c r="C445">
        <f>(Prices!C815/Prices!C814)-1</f>
        <v>1.953807740324609E-2</v>
      </c>
      <c r="D445">
        <f>(Prices!D815/Prices!D814)-1</f>
        <v>-1.8030513176144236E-2</v>
      </c>
      <c r="E445">
        <f>(Prices!E815/Prices!E814)-1</f>
        <v>-2.3954872111892067E-3</v>
      </c>
      <c r="F445">
        <f>(Prices!F815/Prices!F814)-1</f>
        <v>-4.2844710240332873E-3</v>
      </c>
      <c r="G445">
        <f t="shared" si="24"/>
        <v>5.739109323269243E-3</v>
      </c>
      <c r="H445" s="8">
        <f t="shared" si="27"/>
        <v>883382.97105214593</v>
      </c>
      <c r="I445" s="8">
        <f t="shared" si="25"/>
        <v>1067100.1647020529</v>
      </c>
      <c r="J445" s="13">
        <f t="shared" si="26"/>
        <v>-0.17216490047230293</v>
      </c>
    </row>
    <row r="446" spans="1:10" x14ac:dyDescent="0.25">
      <c r="A446" s="5">
        <v>45104</v>
      </c>
      <c r="B446">
        <f>(Prices!B814/Prices!B813)-1</f>
        <v>8.5316952478597941E-5</v>
      </c>
      <c r="C446">
        <f>(Prices!C814/Prices!C813)-1</f>
        <v>-1.7840720985837888E-2</v>
      </c>
      <c r="D446">
        <f>(Prices!D814/Prices!D813)-1</f>
        <v>-2.5540065978503224E-3</v>
      </c>
      <c r="E446">
        <f>(Prices!E814/Prices!E813)-1</f>
        <v>-7.7267810230208234E-5</v>
      </c>
      <c r="F446">
        <f>(Prices!F814/Prices!F813)-1</f>
        <v>-7.2661217075387086E-3</v>
      </c>
      <c r="G446">
        <f t="shared" si="24"/>
        <v>-5.530560029795707E-3</v>
      </c>
      <c r="H446" s="8">
        <f t="shared" si="27"/>
        <v>878497.36850144283</v>
      </c>
      <c r="I446" s="8">
        <f t="shared" si="25"/>
        <v>1067100.1647020529</v>
      </c>
      <c r="J446" s="13">
        <f t="shared" si="26"/>
        <v>-0.1767432921850127</v>
      </c>
    </row>
    <row r="447" spans="1:10" x14ac:dyDescent="0.25">
      <c r="A447" s="6">
        <v>45105</v>
      </c>
      <c r="B447">
        <f>(Prices!B813/Prices!B812)-1</f>
        <v>-1.5455690886182261E-2</v>
      </c>
      <c r="C447">
        <f>(Prices!C813/Prices!C812)-1</f>
        <v>-3.8171435551348498E-3</v>
      </c>
      <c r="D447">
        <f>(Prices!D813/Prices!D812)-1</f>
        <v>-8.0228016467857044E-3</v>
      </c>
      <c r="E447">
        <f>(Prices!E813/Prices!E812)-1</f>
        <v>4.423748544819528E-3</v>
      </c>
      <c r="F447">
        <f>(Prices!F813/Prices!F812)-1</f>
        <v>1.7101527646343095E-2</v>
      </c>
      <c r="G447">
        <f t="shared" si="24"/>
        <v>-1.1540719793880386E-3</v>
      </c>
      <c r="H447" s="8">
        <f t="shared" si="27"/>
        <v>877483.51930448925</v>
      </c>
      <c r="I447" s="8">
        <f t="shared" si="25"/>
        <v>1067100.1647020529</v>
      </c>
      <c r="J447" s="13">
        <f t="shared" si="26"/>
        <v>-0.17769338968334517</v>
      </c>
    </row>
    <row r="448" spans="1:10" x14ac:dyDescent="0.25">
      <c r="A448" s="5">
        <v>45106</v>
      </c>
      <c r="B448">
        <f>(Prices!B812/Prices!B811)-1</f>
        <v>9.0693337853873235E-3</v>
      </c>
      <c r="C448">
        <f>(Prices!C812/Prices!C811)-1</f>
        <v>2.3875845602865375E-3</v>
      </c>
      <c r="D448">
        <f>(Prices!D812/Prices!D811)-1</f>
        <v>-1.2200208550573577E-2</v>
      </c>
      <c r="E448">
        <f>(Prices!E812/Prices!E811)-1</f>
        <v>-3.3745781777277828E-2</v>
      </c>
      <c r="F448">
        <f>(Prices!F812/Prices!F811)-1</f>
        <v>-4.1733979536887622E-3</v>
      </c>
      <c r="G448">
        <f t="shared" si="24"/>
        <v>-7.7324939871732624E-3</v>
      </c>
      <c r="H448" s="8">
        <f t="shared" si="27"/>
        <v>870698.38326762372</v>
      </c>
      <c r="I448" s="8">
        <f t="shared" si="25"/>
        <v>1067100.1647020529</v>
      </c>
      <c r="J448" s="13">
        <f t="shared" si="26"/>
        <v>-0.18405187060323147</v>
      </c>
    </row>
    <row r="449" spans="1:10" x14ac:dyDescent="0.25">
      <c r="A449" s="6">
        <v>45107</v>
      </c>
      <c r="B449">
        <f>(Prices!B811/Prices!B810)-1</f>
        <v>-4.9759635658259693E-3</v>
      </c>
      <c r="C449">
        <f>(Prices!C811/Prices!C810)-1</f>
        <v>-1.6112516564269486E-2</v>
      </c>
      <c r="D449">
        <f>(Prices!D811/Prices!D810)-1</f>
        <v>-5.0835148874364133E-3</v>
      </c>
      <c r="E449">
        <f>(Prices!E811/Prices!E810)-1</f>
        <v>-1.3829315190060698E-2</v>
      </c>
      <c r="F449">
        <f>(Prices!F811/Prices!F810)-1</f>
        <v>-8.7409087876159086E-3</v>
      </c>
      <c r="G449">
        <f t="shared" si="24"/>
        <v>-9.7484437990416964E-3</v>
      </c>
      <c r="H449" s="8">
        <f t="shared" si="27"/>
        <v>862210.4290124228</v>
      </c>
      <c r="I449" s="8">
        <f t="shared" si="25"/>
        <v>1067100.1647020529</v>
      </c>
      <c r="J449" s="13">
        <f t="shared" si="26"/>
        <v>-0.19200609508558908</v>
      </c>
    </row>
    <row r="450" spans="1:10" x14ac:dyDescent="0.25">
      <c r="A450" s="5">
        <v>45110</v>
      </c>
      <c r="B450">
        <f>(Prices!B810/Prices!B809)-1</f>
        <v>-1.6839269175717986E-3</v>
      </c>
      <c r="C450">
        <f>(Prices!C810/Prices!C809)-1</f>
        <v>7.5251850952786636E-3</v>
      </c>
      <c r="D450">
        <f>(Prices!D810/Prices!D809)-1</f>
        <v>-1.967281010561206E-3</v>
      </c>
      <c r="E450">
        <f>(Prices!E810/Prices!E809)-1</f>
        <v>-7.9964786149219202E-3</v>
      </c>
      <c r="F450">
        <f>(Prices!F810/Prices!F809)-1</f>
        <v>5.7714247365949767E-3</v>
      </c>
      <c r="G450">
        <f t="shared" ref="G450:G513" si="28">B450*20%+C450*20%+D450*20%+E450*20%+F450*20%</f>
        <v>3.2978465776374306E-4</v>
      </c>
      <c r="H450" s="8">
        <f t="shared" si="27"/>
        <v>862494.77278367488</v>
      </c>
      <c r="I450" s="8">
        <f t="shared" ref="I450:I513" si="29">MAX(I449,H450)</f>
        <v>1067100.1647020529</v>
      </c>
      <c r="J450" s="13">
        <f t="shared" ref="J450:J513" si="30">(H450-I450)/I450</f>
        <v>-0.19173963109218178</v>
      </c>
    </row>
    <row r="451" spans="1:10" x14ac:dyDescent="0.25">
      <c r="A451" s="6">
        <v>45112</v>
      </c>
      <c r="B451">
        <f>(Prices!B809/Prices!B808)-1</f>
        <v>-1.5174129353233812E-2</v>
      </c>
      <c r="C451">
        <f>(Prices!C809/Prices!C808)-1</f>
        <v>-4.5494525492095761E-4</v>
      </c>
      <c r="D451">
        <f>(Prices!D809/Prices!D808)-1</f>
        <v>5.099385992298755E-3</v>
      </c>
      <c r="E451">
        <f>(Prices!E809/Prices!E808)-1</f>
        <v>6.7208271787295715E-3</v>
      </c>
      <c r="F451">
        <f>(Prices!F809/Prices!F808)-1</f>
        <v>1.4133393829401042E-2</v>
      </c>
      <c r="G451">
        <f t="shared" si="28"/>
        <v>2.0649064784549198E-3</v>
      </c>
      <c r="H451" s="8">
        <f t="shared" si="27"/>
        <v>864275.74382762925</v>
      </c>
      <c r="I451" s="8">
        <f t="shared" si="29"/>
        <v>1067100.1647020529</v>
      </c>
      <c r="J451" s="13">
        <f t="shared" si="30"/>
        <v>-0.19007064902014581</v>
      </c>
    </row>
    <row r="452" spans="1:10" x14ac:dyDescent="0.25">
      <c r="A452" s="5">
        <v>45113</v>
      </c>
      <c r="B452">
        <f>(Prices!B808/Prices!B807)-1</f>
        <v>1.3615733736762392E-2</v>
      </c>
      <c r="C452">
        <f>(Prices!C808/Prices!C807)-1</f>
        <v>-9.1657651159995357E-3</v>
      </c>
      <c r="D452">
        <f>(Prices!D808/Prices!D807)-1</f>
        <v>3.8810810810810947E-2</v>
      </c>
      <c r="E452">
        <f>(Prices!E808/Prices!E807)-1</f>
        <v>9.9955243920633041E-3</v>
      </c>
      <c r="F452">
        <f>(Prices!F808/Prices!F807)-1</f>
        <v>3.9630118890356947E-3</v>
      </c>
      <c r="G452">
        <f t="shared" si="28"/>
        <v>1.1443863142534563E-2</v>
      </c>
      <c r="H452" s="8">
        <f t="shared" ref="H452:H515" si="31">H451*(1+G452)</f>
        <v>874166.39715740492</v>
      </c>
      <c r="I452" s="8">
        <f t="shared" si="29"/>
        <v>1067100.1647020529</v>
      </c>
      <c r="J452" s="13">
        <f t="shared" si="30"/>
        <v>-0.18080192837241049</v>
      </c>
    </row>
    <row r="453" spans="1:10" x14ac:dyDescent="0.25">
      <c r="A453" s="6">
        <v>45114</v>
      </c>
      <c r="B453">
        <f>(Prices!B807/Prices!B806)-1</f>
        <v>5.3231939163498332E-3</v>
      </c>
      <c r="C453">
        <f>(Prices!C807/Prices!C806)-1</f>
        <v>1.2013016635747054E-2</v>
      </c>
      <c r="D453">
        <f>(Prices!D807/Prices!D806)-1</f>
        <v>-2.3727351164797295E-3</v>
      </c>
      <c r="E453">
        <f>(Prices!E807/Prices!E806)-1</f>
        <v>-7.8448786264061487E-3</v>
      </c>
      <c r="F453">
        <f>(Prices!F807/Prices!F806)-1</f>
        <v>1.6860438186113269E-2</v>
      </c>
      <c r="G453">
        <f t="shared" si="28"/>
        <v>4.7958069990648557E-3</v>
      </c>
      <c r="H453" s="8">
        <f t="shared" si="31"/>
        <v>878358.73048323963</v>
      </c>
      <c r="I453" s="8">
        <f t="shared" si="29"/>
        <v>1067100.1647020529</v>
      </c>
      <c r="J453" s="13">
        <f t="shared" si="30"/>
        <v>-0.17687321252687854</v>
      </c>
    </row>
    <row r="454" spans="1:10" x14ac:dyDescent="0.25">
      <c r="A454" s="5">
        <v>45117</v>
      </c>
      <c r="B454">
        <f>(Prices!B806/Prices!B805)-1</f>
        <v>2.6007802340702213E-2</v>
      </c>
      <c r="C454">
        <f>(Prices!C806/Prices!C805)-1</f>
        <v>1.6257147272446204E-2</v>
      </c>
      <c r="D454">
        <f>(Prices!D806/Prices!D805)-1</f>
        <v>-1.4560527154851788E-2</v>
      </c>
      <c r="E454">
        <f>(Prices!E806/Prices!E805)-1</f>
        <v>-5.5931704445097985E-3</v>
      </c>
      <c r="F454">
        <f>(Prices!F806/Prices!F805)-1</f>
        <v>-3.1858897405117048E-3</v>
      </c>
      <c r="G454">
        <f t="shared" si="28"/>
        <v>3.7850724546550246E-3</v>
      </c>
      <c r="H454" s="8">
        <f t="shared" si="31"/>
        <v>881683.38191929751</v>
      </c>
      <c r="I454" s="8">
        <f t="shared" si="29"/>
        <v>1067100.1647020529</v>
      </c>
      <c r="J454" s="13">
        <f t="shared" si="30"/>
        <v>-0.17375761799692535</v>
      </c>
    </row>
    <row r="455" spans="1:10" x14ac:dyDescent="0.25">
      <c r="A455" s="6">
        <v>45118</v>
      </c>
      <c r="B455">
        <f>(Prices!B805/Prices!B804)-1</f>
        <v>-5.9462254395037384E-3</v>
      </c>
      <c r="C455">
        <f>(Prices!C805/Prices!C804)-1</f>
        <v>-1.9125767344294609E-3</v>
      </c>
      <c r="D455">
        <f>(Prices!D805/Prices!D804)-1</f>
        <v>-1.2074758504829863E-2</v>
      </c>
      <c r="E455">
        <f>(Prices!E805/Prices!E804)-1</f>
        <v>-1.5362318840579703E-2</v>
      </c>
      <c r="F455">
        <f>(Prices!F805/Prices!F804)-1</f>
        <v>3.4641232304122305E-4</v>
      </c>
      <c r="G455">
        <f t="shared" si="28"/>
        <v>-6.9898934392603092E-3</v>
      </c>
      <c r="H455" s="8">
        <f t="shared" si="31"/>
        <v>875520.50903251499</v>
      </c>
      <c r="I455" s="8">
        <f t="shared" si="29"/>
        <v>1067100.1647020529</v>
      </c>
      <c r="J455" s="13">
        <f t="shared" si="30"/>
        <v>-0.17953296420212742</v>
      </c>
    </row>
    <row r="456" spans="1:10" x14ac:dyDescent="0.25">
      <c r="A456" s="5">
        <v>45119</v>
      </c>
      <c r="B456">
        <f>(Prices!B804/Prices!B803)-1</f>
        <v>-1.5024191494779737E-2</v>
      </c>
      <c r="C456">
        <f>(Prices!C804/Prices!C803)-1</f>
        <v>-1.4051522248243575E-2</v>
      </c>
      <c r="D456">
        <f>(Prices!D804/Prices!D803)-1</f>
        <v>-4.9106676418346762E-3</v>
      </c>
      <c r="E456">
        <f>(Prices!E804/Prices!E803)-1</f>
        <v>-4.9751243781094301E-3</v>
      </c>
      <c r="F456">
        <f>(Prices!F804/Prices!F803)-1</f>
        <v>2.4778719174515906E-2</v>
      </c>
      <c r="G456">
        <f t="shared" si="28"/>
        <v>-2.8365573176903029E-3</v>
      </c>
      <c r="H456" s="8">
        <f t="shared" si="31"/>
        <v>873037.04492583091</v>
      </c>
      <c r="I456" s="8">
        <f t="shared" si="29"/>
        <v>1067100.1647020529</v>
      </c>
      <c r="J456" s="13">
        <f t="shared" si="30"/>
        <v>-0.18186026597644353</v>
      </c>
    </row>
    <row r="457" spans="1:10" x14ac:dyDescent="0.25">
      <c r="A457" s="6">
        <v>45120</v>
      </c>
      <c r="B457">
        <f>(Prices!B803/Prices!B802)-1</f>
        <v>-4.5067682580854362E-2</v>
      </c>
      <c r="C457">
        <f>(Prices!C803/Prices!C802)-1</f>
        <v>-1.5922899643829869E-2</v>
      </c>
      <c r="D457">
        <f>(Prices!D803/Prices!D802)-1</f>
        <v>1.8624946785866348E-2</v>
      </c>
      <c r="E457">
        <f>(Prices!E803/Prices!E802)-1</f>
        <v>-4.8076923076924016E-3</v>
      </c>
      <c r="F457">
        <f>(Prices!F803/Prices!F802)-1</f>
        <v>8.8098364569655363E-3</v>
      </c>
      <c r="G457">
        <f t="shared" si="28"/>
        <v>-7.6726982579089498E-3</v>
      </c>
      <c r="H457" s="8">
        <f t="shared" si="31"/>
        <v>866338.49511213845</v>
      </c>
      <c r="I457" s="8">
        <f t="shared" si="29"/>
        <v>1067100.1647020529</v>
      </c>
      <c r="J457" s="13">
        <f t="shared" si="30"/>
        <v>-0.18813760528841222</v>
      </c>
    </row>
    <row r="458" spans="1:10" x14ac:dyDescent="0.25">
      <c r="A458" s="5">
        <v>45121</v>
      </c>
      <c r="B458">
        <f>(Prices!B802/Prices!B801)-1</f>
        <v>-7.002575660012833E-3</v>
      </c>
      <c r="C458">
        <f>(Prices!C802/Prices!C801)-1</f>
        <v>-7.4859638178415011E-3</v>
      </c>
      <c r="D458">
        <f>(Prices!D802/Prices!D801)-1</f>
        <v>3.5714285714285587E-2</v>
      </c>
      <c r="E458">
        <f>(Prices!E802/Prices!E801)-1</f>
        <v>-5.9914407988586049E-3</v>
      </c>
      <c r="F458">
        <f>(Prices!F802/Prices!F801)-1</f>
        <v>-6.7502281986775547E-2</v>
      </c>
      <c r="G458">
        <f t="shared" si="28"/>
        <v>-1.045359530984058E-2</v>
      </c>
      <c r="H458" s="8">
        <f t="shared" si="31"/>
        <v>857282.14308289986</v>
      </c>
      <c r="I458" s="8">
        <f t="shared" si="29"/>
        <v>1067100.1647020529</v>
      </c>
      <c r="J458" s="13">
        <f t="shared" si="30"/>
        <v>-0.19662448621000519</v>
      </c>
    </row>
    <row r="459" spans="1:10" x14ac:dyDescent="0.25">
      <c r="A459" s="6">
        <v>45124</v>
      </c>
      <c r="B459">
        <f>(Prices!B801/Prices!B800)-1</f>
        <v>6.1548428895366047E-3</v>
      </c>
      <c r="C459">
        <f>(Prices!C801/Prices!C800)-1</f>
        <v>-1.3942450311481558E-3</v>
      </c>
      <c r="D459">
        <f>(Prices!D801/Prices!D800)-1</f>
        <v>-4.389815627743654E-3</v>
      </c>
      <c r="E459">
        <f>(Prices!E801/Prices!E800)-1</f>
        <v>-2.3540883131355494E-2</v>
      </c>
      <c r="F459">
        <f>(Prices!F801/Prices!F800)-1</f>
        <v>-8.0825033677096592E-3</v>
      </c>
      <c r="G459">
        <f t="shared" si="28"/>
        <v>-6.2505208536840721E-3</v>
      </c>
      <c r="H459" s="8">
        <f t="shared" si="31"/>
        <v>851923.68317006924</v>
      </c>
      <c r="I459" s="8">
        <f t="shared" si="29"/>
        <v>1067100.1647020529</v>
      </c>
      <c r="J459" s="13">
        <f t="shared" si="30"/>
        <v>-0.20164600161228871</v>
      </c>
    </row>
    <row r="460" spans="1:10" x14ac:dyDescent="0.25">
      <c r="A460" s="5">
        <v>45125</v>
      </c>
      <c r="B460">
        <f>(Prices!B800/Prices!B799)-1</f>
        <v>7.259972265274417E-3</v>
      </c>
      <c r="C460">
        <f>(Prices!C800/Prices!C799)-1</f>
        <v>-3.8285975122674731E-2</v>
      </c>
      <c r="D460">
        <f>(Prices!D800/Prices!D799)-1</f>
        <v>4.5198985778855949E-3</v>
      </c>
      <c r="E460">
        <f>(Prices!E800/Prices!E799)-1</f>
        <v>-1.876955161626559E-3</v>
      </c>
      <c r="F460">
        <f>(Prices!F800/Prices!F799)-1</f>
        <v>-3.1835286068588098E-2</v>
      </c>
      <c r="G460">
        <f t="shared" si="28"/>
        <v>-1.2043669101945875E-2</v>
      </c>
      <c r="H460" s="8">
        <f t="shared" si="31"/>
        <v>841663.39622985793</v>
      </c>
      <c r="I460" s="8">
        <f t="shared" si="29"/>
        <v>1067100.1647020529</v>
      </c>
      <c r="J460" s="13">
        <f t="shared" si="30"/>
        <v>-0.21126111299508574</v>
      </c>
    </row>
    <row r="461" spans="1:10" x14ac:dyDescent="0.25">
      <c r="A461" s="6">
        <v>45126</v>
      </c>
      <c r="B461">
        <f>(Prices!B799/Prices!B798)-1</f>
        <v>1.4146260754467344E-2</v>
      </c>
      <c r="C461">
        <f>(Prices!C799/Prices!C798)-1</f>
        <v>1.2419848651146648E-2</v>
      </c>
      <c r="D461">
        <f>(Prices!D799/Prices!D798)-1</f>
        <v>-6.7885689258732063E-3</v>
      </c>
      <c r="E461">
        <f>(Prices!E799/Prices!E798)-1</f>
        <v>-3.8088642659280803E-3</v>
      </c>
      <c r="F461">
        <f>(Prices!F799/Prices!F798)-1</f>
        <v>-7.343265843202107E-3</v>
      </c>
      <c r="G461">
        <f t="shared" si="28"/>
        <v>1.7250820741221192E-3</v>
      </c>
      <c r="H461" s="8">
        <f t="shared" si="31"/>
        <v>843115.33466713887</v>
      </c>
      <c r="I461" s="8">
        <f t="shared" si="29"/>
        <v>1067100.1647020529</v>
      </c>
      <c r="J461" s="13">
        <f t="shared" si="30"/>
        <v>-0.20990047367995046</v>
      </c>
    </row>
    <row r="462" spans="1:10" x14ac:dyDescent="0.25">
      <c r="A462" s="5">
        <v>45127</v>
      </c>
      <c r="B462">
        <f>(Prices!B798/Prices!B797)-1</f>
        <v>2.3712737127371319E-2</v>
      </c>
      <c r="C462">
        <f>(Prices!C798/Prices!C797)-1</f>
        <v>2.3653243451008166E-2</v>
      </c>
      <c r="D462">
        <f>(Prices!D798/Prices!D797)-1</f>
        <v>-1.7323004088659388E-2</v>
      </c>
      <c r="E462">
        <f>(Prices!E798/Prices!E797)-1</f>
        <v>-1.2176768367765822E-2</v>
      </c>
      <c r="F462">
        <f>(Prices!F798/Prices!F797)-1</f>
        <v>-1.0812185969598653E-3</v>
      </c>
      <c r="G462">
        <f t="shared" si="28"/>
        <v>3.3569979049988818E-3</v>
      </c>
      <c r="H462" s="8">
        <f t="shared" si="31"/>
        <v>845945.67107928882</v>
      </c>
      <c r="I462" s="8">
        <f t="shared" si="29"/>
        <v>1067100.1647020529</v>
      </c>
      <c r="J462" s="13">
        <f t="shared" si="30"/>
        <v>-0.20724811122535353</v>
      </c>
    </row>
    <row r="463" spans="1:10" x14ac:dyDescent="0.25">
      <c r="A463" s="6">
        <v>45128</v>
      </c>
      <c r="B463">
        <f>(Prices!B797/Prices!B796)-1</f>
        <v>-6.8130204390612903E-3</v>
      </c>
      <c r="C463">
        <f>(Prices!C797/Prices!C796)-1</f>
        <v>9.0396491542110713E-3</v>
      </c>
      <c r="D463">
        <f>(Prices!D797/Prices!D796)-1</f>
        <v>-4.6053336189354477E-3</v>
      </c>
      <c r="E463">
        <f>(Prices!E797/Prices!E796)-1</f>
        <v>7.79041709755246E-3</v>
      </c>
      <c r="F463">
        <f>(Prices!F797/Prices!F796)-1</f>
        <v>-4.516387733997429E-3</v>
      </c>
      <c r="G463">
        <f t="shared" si="28"/>
        <v>1.7906489195387268E-4</v>
      </c>
      <c r="H463" s="8">
        <f t="shared" si="31"/>
        <v>846097.15024947957</v>
      </c>
      <c r="I463" s="8">
        <f t="shared" si="29"/>
        <v>1067100.1647020529</v>
      </c>
      <c r="J463" s="13">
        <f t="shared" si="30"/>
        <v>-0.20710615719404377</v>
      </c>
    </row>
    <row r="464" spans="1:10" x14ac:dyDescent="0.25">
      <c r="A464" s="5">
        <v>45131</v>
      </c>
      <c r="B464">
        <f>(Prices!B796/Prices!B795)-1</f>
        <v>-1.2377471340754287E-2</v>
      </c>
      <c r="C464">
        <f>(Prices!C796/Prices!C795)-1</f>
        <v>-3.8930163447251642E-3</v>
      </c>
      <c r="D464">
        <f>(Prices!D796/Prices!D795)-1</f>
        <v>-1.549978911851535E-2</v>
      </c>
      <c r="E464">
        <f>(Prices!E796/Prices!E795)-1</f>
        <v>-1.9336082753025341E-2</v>
      </c>
      <c r="F464">
        <f>(Prices!F796/Prices!F795)-1</f>
        <v>-4.2241089441829027E-3</v>
      </c>
      <c r="G464">
        <f t="shared" si="28"/>
        <v>-1.1066093700240609E-2</v>
      </c>
      <c r="H464" s="8">
        <f t="shared" si="31"/>
        <v>836734.15990531235</v>
      </c>
      <c r="I464" s="8">
        <f t="shared" si="29"/>
        <v>1067100.1647020529</v>
      </c>
      <c r="J464" s="13">
        <f t="shared" si="30"/>
        <v>-0.21588039475287826</v>
      </c>
    </row>
    <row r="465" spans="1:10" x14ac:dyDescent="0.25">
      <c r="A465" s="6">
        <v>45132</v>
      </c>
      <c r="B465">
        <f>(Prices!B795/Prices!B794)-1</f>
        <v>-5.6170493969932567E-3</v>
      </c>
      <c r="C465">
        <f>(Prices!C795/Prices!C794)-1</f>
        <v>-1.6714394249313425E-2</v>
      </c>
      <c r="D465">
        <f>(Prices!D795/Prices!D794)-1</f>
        <v>-1.4739945251631692E-3</v>
      </c>
      <c r="E465">
        <f>(Prices!E795/Prices!E794)-1</f>
        <v>7.5613079019072327E-3</v>
      </c>
      <c r="F465">
        <f>(Prices!F795/Prices!F794)-1</f>
        <v>-4.414687728841904E-3</v>
      </c>
      <c r="G465">
        <f t="shared" si="28"/>
        <v>-4.131763599680904E-3</v>
      </c>
      <c r="H465" s="8">
        <f t="shared" si="31"/>
        <v>833276.97216080595</v>
      </c>
      <c r="I465" s="8">
        <f t="shared" si="29"/>
        <v>1067100.1647020529</v>
      </c>
      <c r="J465" s="13">
        <f t="shared" si="30"/>
        <v>-0.21912019159563453</v>
      </c>
    </row>
    <row r="466" spans="1:10" x14ac:dyDescent="0.25">
      <c r="A466" s="5">
        <v>45133</v>
      </c>
      <c r="B466">
        <f>(Prices!B794/Prices!B793)-1</f>
        <v>-5.4588051542366345E-2</v>
      </c>
      <c r="C466">
        <f>(Prices!C794/Prices!C793)-1</f>
        <v>3.9108520070444186E-2</v>
      </c>
      <c r="D466">
        <f>(Prices!D794/Prices!D793)-1</f>
        <v>5.6114346214928279E-3</v>
      </c>
      <c r="E466">
        <f>(Prices!E794/Prices!E793)-1</f>
        <v>-5.9588299024918578E-3</v>
      </c>
      <c r="F466">
        <f>(Prices!F794/Prices!F793)-1</f>
        <v>5.7658719303044226E-3</v>
      </c>
      <c r="G466">
        <f t="shared" si="28"/>
        <v>-2.0122109645233522E-3</v>
      </c>
      <c r="H466" s="8">
        <f t="shared" si="31"/>
        <v>831600.2431009392</v>
      </c>
      <c r="I466" s="8">
        <f t="shared" si="29"/>
        <v>1067100.1647020529</v>
      </c>
      <c r="J466" s="13">
        <f t="shared" si="30"/>
        <v>-0.22069148650808065</v>
      </c>
    </row>
    <row r="467" spans="1:10" x14ac:dyDescent="0.25">
      <c r="A467" s="6">
        <v>45134</v>
      </c>
      <c r="B467">
        <f>(Prices!B793/Prices!B792)-1</f>
        <v>-1.0141987829613841E-3</v>
      </c>
      <c r="C467">
        <f>(Prices!C793/Prices!C792)-1</f>
        <v>2.1304307377430387E-2</v>
      </c>
      <c r="D467">
        <f>(Prices!D793/Prices!D792)-1</f>
        <v>-3.1662269129287823E-3</v>
      </c>
      <c r="E467">
        <f>(Prices!E793/Prices!E792)-1</f>
        <v>1.1091332329179915E-2</v>
      </c>
      <c r="F467">
        <f>(Prices!F793/Prices!F792)-1</f>
        <v>5.5013647616426464E-3</v>
      </c>
      <c r="G467">
        <f t="shared" si="28"/>
        <v>6.7433157544725571E-3</v>
      </c>
      <c r="H467" s="8">
        <f t="shared" si="31"/>
        <v>837207.98612166499</v>
      </c>
      <c r="I467" s="8">
        <f t="shared" si="29"/>
        <v>1067100.1647020529</v>
      </c>
      <c r="J467" s="13">
        <f t="shared" si="30"/>
        <v>-0.21543636313145598</v>
      </c>
    </row>
    <row r="468" spans="1:10" x14ac:dyDescent="0.25">
      <c r="A468" s="5">
        <v>45135</v>
      </c>
      <c r="B468">
        <f>(Prices!B792/Prices!B791)-1</f>
        <v>-2.3985380339602624E-2</v>
      </c>
      <c r="C468">
        <f>(Prices!C792/Prices!C791)-1</f>
        <v>-2.2610856848422345E-2</v>
      </c>
      <c r="D468">
        <f>(Prices!D792/Prices!D791)-1</f>
        <v>1.2070070497756769E-2</v>
      </c>
      <c r="E468">
        <f>(Prices!E792/Prices!E791)-1</f>
        <v>-5.6504867587989782E-3</v>
      </c>
      <c r="F468">
        <f>(Prices!F792/Prices!F791)-1</f>
        <v>4.6127030014455617E-3</v>
      </c>
      <c r="G468">
        <f t="shared" si="28"/>
        <v>-7.1127900895243219E-3</v>
      </c>
      <c r="H468" s="8">
        <f t="shared" si="31"/>
        <v>831253.10145510815</v>
      </c>
      <c r="I468" s="8">
        <f t="shared" si="29"/>
        <v>1067100.1647020529</v>
      </c>
      <c r="J468" s="13">
        <f t="shared" si="30"/>
        <v>-0.22101679959237577</v>
      </c>
    </row>
    <row r="469" spans="1:10" x14ac:dyDescent="0.25">
      <c r="A469" s="6">
        <v>45138</v>
      </c>
      <c r="B469">
        <f>(Prices!B791/Prices!B790)-1</f>
        <v>-1.064881722065758E-3</v>
      </c>
      <c r="C469">
        <f>(Prices!C791/Prices!C790)-1</f>
        <v>7.2968187091653203E-3</v>
      </c>
      <c r="D469">
        <f>(Prices!D791/Prices!D790)-1</f>
        <v>-2.873742089428355E-2</v>
      </c>
      <c r="E469">
        <f>(Prices!E791/Prices!E790)-1</f>
        <v>-6.6274430242782012E-3</v>
      </c>
      <c r="F469">
        <f>(Prices!F791/Prices!F790)-1</f>
        <v>-6.8400608005404484E-3</v>
      </c>
      <c r="G469">
        <f t="shared" si="28"/>
        <v>-7.1945975464005277E-3</v>
      </c>
      <c r="H469" s="8">
        <f t="shared" si="31"/>
        <v>825272.56993094145</v>
      </c>
      <c r="I469" s="8">
        <f t="shared" si="29"/>
        <v>1067100.1647020529</v>
      </c>
      <c r="J469" s="13">
        <f t="shared" si="30"/>
        <v>-0.22662127021471565</v>
      </c>
    </row>
    <row r="470" spans="1:10" x14ac:dyDescent="0.25">
      <c r="A470" s="5">
        <v>45139</v>
      </c>
      <c r="B470">
        <f>(Prices!B790/Prices!B789)-1</f>
        <v>8.9018494359602851E-3</v>
      </c>
      <c r="C470">
        <f>(Prices!C790/Prices!C789)-1</f>
        <v>-1.2501905778319333E-3</v>
      </c>
      <c r="D470">
        <f>(Prices!D790/Prices!D789)-1</f>
        <v>5.8436815193572134E-3</v>
      </c>
      <c r="E470">
        <f>(Prices!E790/Prices!E789)-1</f>
        <v>4.9612613837162201E-3</v>
      </c>
      <c r="F470">
        <f>(Prices!F790/Prices!F789)-1</f>
        <v>3.2192477126398167E-3</v>
      </c>
      <c r="G470">
        <f t="shared" si="28"/>
        <v>4.3351698947683209E-3</v>
      </c>
      <c r="H470" s="8">
        <f t="shared" si="31"/>
        <v>828850.26673108409</v>
      </c>
      <c r="I470" s="8">
        <f t="shared" si="29"/>
        <v>1067100.1647020529</v>
      </c>
      <c r="J470" s="13">
        <f t="shared" si="30"/>
        <v>-0.22326854202809637</v>
      </c>
    </row>
    <row r="471" spans="1:10" x14ac:dyDescent="0.25">
      <c r="A471" s="6">
        <v>45140</v>
      </c>
      <c r="B471">
        <f>(Prices!B789/Prices!B788)-1</f>
        <v>2.4691358024691468E-2</v>
      </c>
      <c r="C471">
        <f>(Prices!C789/Prices!C788)-1</f>
        <v>2.6994018726709035E-2</v>
      </c>
      <c r="D471">
        <f>(Prices!D789/Prices!D788)-1</f>
        <v>1.2680967980555957E-2</v>
      </c>
      <c r="E471">
        <f>(Prices!E789/Prices!E788)-1</f>
        <v>1.1480030246786121E-2</v>
      </c>
      <c r="F471">
        <f>(Prices!F789/Prices!F788)-1</f>
        <v>-1.0588509349640507E-4</v>
      </c>
      <c r="G471">
        <f t="shared" si="28"/>
        <v>1.5148097977049236E-2</v>
      </c>
      <c r="H471" s="8">
        <f t="shared" si="31"/>
        <v>841405.77177982999</v>
      </c>
      <c r="I471" s="8">
        <f t="shared" si="29"/>
        <v>1067100.1647020529</v>
      </c>
      <c r="J471" s="13">
        <f t="shared" si="30"/>
        <v>-0.21150253780088163</v>
      </c>
    </row>
    <row r="472" spans="1:10" x14ac:dyDescent="0.25">
      <c r="A472" s="5">
        <v>45141</v>
      </c>
      <c r="B472">
        <f>(Prices!B788/Prices!B787)-1</f>
        <v>-5.5014146494802851E-4</v>
      </c>
      <c r="C472">
        <f>(Prices!C788/Prices!C787)-1</f>
        <v>2.5744874572226628E-3</v>
      </c>
      <c r="D472">
        <f>(Prices!D788/Prices!D787)-1</f>
        <v>-1.713751557955967E-2</v>
      </c>
      <c r="E472">
        <f>(Prices!E788/Prices!E787)-1</f>
        <v>-6.0808964197869297E-3</v>
      </c>
      <c r="F472">
        <f>(Prices!F788/Prices!F787)-1</f>
        <v>-1.2704596946666591E-4</v>
      </c>
      <c r="G472">
        <f t="shared" si="28"/>
        <v>-4.2642223953077265E-3</v>
      </c>
      <c r="H472" s="8">
        <f t="shared" si="31"/>
        <v>837817.83044426527</v>
      </c>
      <c r="I472" s="8">
        <f t="shared" si="29"/>
        <v>1067100.1647020529</v>
      </c>
      <c r="J472" s="13">
        <f t="shared" si="30"/>
        <v>-0.21486486633783439</v>
      </c>
    </row>
    <row r="473" spans="1:10" x14ac:dyDescent="0.25">
      <c r="A473" s="6">
        <v>45142</v>
      </c>
      <c r="B473">
        <f>(Prices!B787/Prices!B786)-1</f>
        <v>2.6792750197004445E-3</v>
      </c>
      <c r="C473">
        <f>(Prices!C787/Prices!C786)-1</f>
        <v>-3.4105131414269296E-3</v>
      </c>
      <c r="D473">
        <f>(Prices!D787/Prices!D786)-1</f>
        <v>-2.7964785085448085E-3</v>
      </c>
      <c r="E473">
        <f>(Prices!E787/Prices!E786)-1</f>
        <v>2.0539504313297208E-3</v>
      </c>
      <c r="F473">
        <f>(Prices!F787/Prices!F786)-1</f>
        <v>4.2315216466786154E-3</v>
      </c>
      <c r="G473">
        <f t="shared" si="28"/>
        <v>5.5155108954740872E-4</v>
      </c>
      <c r="H473" s="8">
        <f t="shared" si="31"/>
        <v>838279.92978148919</v>
      </c>
      <c r="I473" s="8">
        <f t="shared" si="29"/>
        <v>1067100.1647020529</v>
      </c>
      <c r="J473" s="13">
        <f t="shared" si="30"/>
        <v>-0.21443182419942095</v>
      </c>
    </row>
    <row r="474" spans="1:10" x14ac:dyDescent="0.25">
      <c r="A474" s="5">
        <v>45145</v>
      </c>
      <c r="B474">
        <f>(Prices!B786/Prices!B785)-1</f>
        <v>-2.6018880957863089E-2</v>
      </c>
      <c r="C474">
        <f>(Prices!C786/Prices!C785)-1</f>
        <v>-7.0525367384347559E-3</v>
      </c>
      <c r="D474">
        <f>(Prices!D786/Prices!D785)-1</f>
        <v>2.0757654385055169E-3</v>
      </c>
      <c r="E474">
        <f>(Prices!E786/Prices!E785)-1</f>
        <v>-4.7018739352640004E-3</v>
      </c>
      <c r="F474">
        <f>(Prices!F786/Prices!F785)-1</f>
        <v>-1.5676999393013369E-2</v>
      </c>
      <c r="G474">
        <f t="shared" si="28"/>
        <v>-1.0274905117213941E-2</v>
      </c>
      <c r="H474" s="8">
        <f t="shared" si="31"/>
        <v>829666.6830413196</v>
      </c>
      <c r="I474" s="8">
        <f t="shared" si="29"/>
        <v>1067100.1647020529</v>
      </c>
      <c r="J474" s="13">
        <f t="shared" si="30"/>
        <v>-0.22250346266887477</v>
      </c>
    </row>
    <row r="475" spans="1:10" x14ac:dyDescent="0.25">
      <c r="A475" s="6">
        <v>45146</v>
      </c>
      <c r="B475">
        <f>(Prices!B785/Prices!B784)-1</f>
        <v>9.9877074370002816E-4</v>
      </c>
      <c r="C475">
        <f>(Prices!C785/Prices!C784)-1</f>
        <v>1.2424509310518417E-2</v>
      </c>
      <c r="D475">
        <f>(Prices!D785/Prices!D784)-1</f>
        <v>-4.9571413818032539E-3</v>
      </c>
      <c r="E475">
        <f>(Prices!E785/Prices!E784)-1</f>
        <v>5.6880482456140857E-3</v>
      </c>
      <c r="F475">
        <f>(Prices!F785/Prices!F784)-1</f>
        <v>9.6576500422653755E-3</v>
      </c>
      <c r="G475">
        <f t="shared" si="28"/>
        <v>4.7623673920589304E-3</v>
      </c>
      <c r="H475" s="8">
        <f t="shared" si="31"/>
        <v>833617.86059891328</v>
      </c>
      <c r="I475" s="8">
        <f t="shared" si="29"/>
        <v>1067100.1647020529</v>
      </c>
      <c r="J475" s="13">
        <f t="shared" si="30"/>
        <v>-0.21880073851205029</v>
      </c>
    </row>
    <row r="476" spans="1:10" x14ac:dyDescent="0.25">
      <c r="A476" s="5">
        <v>45147</v>
      </c>
      <c r="B476">
        <f>(Prices!B784/Prices!B783)-1</f>
        <v>1.3391466832762378E-2</v>
      </c>
      <c r="C476">
        <f>(Prices!C784/Prices!C783)-1</f>
        <v>1.1871797320093025E-2</v>
      </c>
      <c r="D476">
        <f>(Prices!D784/Prices!D783)-1</f>
        <v>-1.6654818726515641E-2</v>
      </c>
      <c r="E476">
        <f>(Prices!E784/Prices!E783)-1</f>
        <v>1.3544488435090596E-2</v>
      </c>
      <c r="F476">
        <f>(Prices!F784/Prices!F783)-1</f>
        <v>7.4515648286139768E-3</v>
      </c>
      <c r="G476">
        <f t="shared" si="28"/>
        <v>5.9208997380088679E-3</v>
      </c>
      <c r="H476" s="8">
        <f t="shared" si="31"/>
        <v>838553.62837133289</v>
      </c>
      <c r="I476" s="8">
        <f t="shared" si="29"/>
        <v>1067100.1647020529</v>
      </c>
      <c r="J476" s="13">
        <f t="shared" si="30"/>
        <v>-0.21417533600937355</v>
      </c>
    </row>
    <row r="477" spans="1:10" x14ac:dyDescent="0.25">
      <c r="A477" s="6">
        <v>45148</v>
      </c>
      <c r="B477">
        <f>(Prices!B783/Prices!B782)-1</f>
        <v>-2.3351755273604002E-4</v>
      </c>
      <c r="C477">
        <f>(Prices!C783/Prices!C782)-1</f>
        <v>-2.1596214310668493E-3</v>
      </c>
      <c r="D477">
        <f>(Prices!D783/Prices!D782)-1</f>
        <v>-5.0520359704960827E-3</v>
      </c>
      <c r="E477">
        <f>(Prices!E783/Prices!E782)-1</f>
        <v>1.530434782608614E-3</v>
      </c>
      <c r="F477">
        <f>(Prices!F783/Prices!F782)-1</f>
        <v>-2.7177374835449797E-3</v>
      </c>
      <c r="G477">
        <f t="shared" si="28"/>
        <v>-1.7264955310470676E-3</v>
      </c>
      <c r="H477" s="8">
        <f t="shared" si="31"/>
        <v>837105.8692794065</v>
      </c>
      <c r="I477" s="8">
        <f t="shared" si="29"/>
        <v>1067100.1647020529</v>
      </c>
      <c r="J477" s="13">
        <f t="shared" si="30"/>
        <v>-0.21553205877993992</v>
      </c>
    </row>
    <row r="478" spans="1:10" x14ac:dyDescent="0.25">
      <c r="A478" s="5">
        <v>45149</v>
      </c>
      <c r="B478">
        <f>(Prices!B782/Prices!B781)-1</f>
        <v>1.0129343930185275E-3</v>
      </c>
      <c r="C478">
        <f>(Prices!C782/Prices!C781)-1</f>
        <v>5.9744408945687777E-3</v>
      </c>
      <c r="D478">
        <f>(Prices!D782/Prices!D781)-1</f>
        <v>-1.5321858521540221E-2</v>
      </c>
      <c r="E478">
        <f>(Prices!E782/Prices!E781)-1</f>
        <v>-5.8095303962929501E-3</v>
      </c>
      <c r="F478">
        <f>(Prices!F782/Prices!F781)-1</f>
        <v>-8.9221834097891195E-3</v>
      </c>
      <c r="G478">
        <f t="shared" si="28"/>
        <v>-4.613239408006997E-3</v>
      </c>
      <c r="H478" s="8">
        <f t="shared" si="31"/>
        <v>833244.09949457285</v>
      </c>
      <c r="I478" s="8">
        <f t="shared" si="29"/>
        <v>1067100.1647020529</v>
      </c>
      <c r="J478" s="13">
        <f t="shared" si="30"/>
        <v>-0.21915099720069436</v>
      </c>
    </row>
    <row r="479" spans="1:10" x14ac:dyDescent="0.25">
      <c r="A479" s="6">
        <v>45152</v>
      </c>
      <c r="B479">
        <f>(Prices!B781/Prices!B780)-1</f>
        <v>-1.3452225382427518E-2</v>
      </c>
      <c r="C479">
        <f>(Prices!C781/Prices!C780)-1</f>
        <v>-9.3682744651221173E-3</v>
      </c>
      <c r="D479">
        <f>(Prices!D781/Prices!D780)-1</f>
        <v>-7.9530768466051782E-4</v>
      </c>
      <c r="E479">
        <f>(Prices!E781/Prices!E780)-1</f>
        <v>-2.0705362688935303E-3</v>
      </c>
      <c r="F479">
        <f>(Prices!F781/Prices!F780)-1</f>
        <v>-5.7118945496390516E-3</v>
      </c>
      <c r="G479">
        <f t="shared" si="28"/>
        <v>-6.2796476701485471E-3</v>
      </c>
      <c r="H479" s="8">
        <f t="shared" si="31"/>
        <v>828011.62012651667</v>
      </c>
      <c r="I479" s="8">
        <f t="shared" si="29"/>
        <v>1067100.1647020529</v>
      </c>
      <c r="J479" s="13">
        <f t="shared" si="30"/>
        <v>-0.2240544538218609</v>
      </c>
    </row>
    <row r="480" spans="1:10" x14ac:dyDescent="0.25">
      <c r="A480" s="5">
        <v>45153</v>
      </c>
      <c r="B480">
        <f>(Prices!B780/Prices!B779)-1</f>
        <v>1.1901057871810838E-2</v>
      </c>
      <c r="C480">
        <f>(Prices!C780/Prices!C779)-1</f>
        <v>6.7871140426345455E-3</v>
      </c>
      <c r="D480">
        <f>(Prices!D780/Prices!D779)-1</f>
        <v>2.6323844505662608E-2</v>
      </c>
      <c r="E480">
        <f>(Prices!E780/Prices!E779)-1</f>
        <v>2.6133144475920744E-2</v>
      </c>
      <c r="F480">
        <f>(Prices!F780/Prices!F779)-1</f>
        <v>8.3758808388538775E-3</v>
      </c>
      <c r="G480">
        <f t="shared" si="28"/>
        <v>1.5904208346976523E-2</v>
      </c>
      <c r="H480" s="8">
        <f t="shared" si="31"/>
        <v>841180.48944672639</v>
      </c>
      <c r="I480" s="8">
        <f t="shared" si="29"/>
        <v>1067100.1647020529</v>
      </c>
      <c r="J480" s="13">
        <f t="shared" si="30"/>
        <v>-0.21171365418953525</v>
      </c>
    </row>
    <row r="481" spans="1:10" x14ac:dyDescent="0.25">
      <c r="A481" s="6">
        <v>45154</v>
      </c>
      <c r="B481">
        <f>(Prices!B779/Prices!B778)-1</f>
        <v>8.3928151227548042E-3</v>
      </c>
      <c r="C481">
        <f>(Prices!C779/Prices!C778)-1</f>
        <v>2.4275721084741075E-3</v>
      </c>
      <c r="D481">
        <f>(Prices!D779/Prices!D778)-1</f>
        <v>1.7123287671232834E-2</v>
      </c>
      <c r="E481">
        <f>(Prices!E779/Prices!E778)-1</f>
        <v>4.2674253200567502E-3</v>
      </c>
      <c r="F481">
        <f>(Prices!F779/Prices!F778)-1</f>
        <v>6.2201464812652318E-3</v>
      </c>
      <c r="G481">
        <f t="shared" si="28"/>
        <v>7.6862493407567458E-3</v>
      </c>
      <c r="H481" s="8">
        <f t="shared" si="31"/>
        <v>847646.01242919383</v>
      </c>
      <c r="I481" s="8">
        <f t="shared" si="29"/>
        <v>1067100.1647020529</v>
      </c>
      <c r="J481" s="13">
        <f t="shared" si="30"/>
        <v>-0.20565468878372195</v>
      </c>
    </row>
    <row r="482" spans="1:10" x14ac:dyDescent="0.25">
      <c r="A482" s="5">
        <v>45155</v>
      </c>
      <c r="B482">
        <f>(Prices!B778/Prices!B777)-1</f>
        <v>-9.4017094017093683E-3</v>
      </c>
      <c r="C482">
        <f>(Prices!C778/Prices!C777)-1</f>
        <v>1.1110034557374915E-2</v>
      </c>
      <c r="D482">
        <f>(Prices!D778/Prices!D777)-1</f>
        <v>-1.903695408734607E-2</v>
      </c>
      <c r="E482">
        <f>(Prices!E778/Prices!E777)-1</f>
        <v>1.0493028604283472E-2</v>
      </c>
      <c r="F482">
        <f>(Prices!F778/Prices!F777)-1</f>
        <v>1.9434284848615979E-2</v>
      </c>
      <c r="G482">
        <f t="shared" si="28"/>
        <v>2.5197369042437856E-3</v>
      </c>
      <c r="H482" s="8">
        <f t="shared" si="31"/>
        <v>849781.85736844677</v>
      </c>
      <c r="I482" s="8">
        <f t="shared" si="29"/>
        <v>1067100.1647020529</v>
      </c>
      <c r="J482" s="13">
        <f t="shared" si="30"/>
        <v>-0.20365314758833725</v>
      </c>
    </row>
    <row r="483" spans="1:10" x14ac:dyDescent="0.25">
      <c r="A483" s="6">
        <v>45156</v>
      </c>
      <c r="B483">
        <f>(Prices!B777/Prices!B776)-1</f>
        <v>1.9325201964200733E-2</v>
      </c>
      <c r="C483">
        <f>(Prices!C777/Prices!C776)-1</f>
        <v>1.2611563833915262E-3</v>
      </c>
      <c r="D483">
        <f>(Prices!D777/Prices!D776)-1</f>
        <v>-1.4843044830006868E-2</v>
      </c>
      <c r="E483">
        <f>(Prices!E777/Prices!E776)-1</f>
        <v>-2.2945647497492061E-3</v>
      </c>
      <c r="F483">
        <f>(Prices!F777/Prices!F776)-1</f>
        <v>-8.9864024364089135E-3</v>
      </c>
      <c r="G483">
        <f t="shared" si="28"/>
        <v>-1.1075307337145451E-3</v>
      </c>
      <c r="H483" s="8">
        <f t="shared" si="31"/>
        <v>848840.69784445828</v>
      </c>
      <c r="I483" s="8">
        <f t="shared" si="29"/>
        <v>1067100.1647020529</v>
      </c>
      <c r="J483" s="13">
        <f t="shared" si="30"/>
        <v>-0.20453512620207992</v>
      </c>
    </row>
    <row r="484" spans="1:10" x14ac:dyDescent="0.25">
      <c r="A484" s="5">
        <v>45159</v>
      </c>
      <c r="B484">
        <f>(Prices!B776/Prices!B775)-1</f>
        <v>-7.0776973891160111E-3</v>
      </c>
      <c r="C484">
        <f>(Prices!C776/Prices!C775)-1</f>
        <v>-1.6756223967441364E-2</v>
      </c>
      <c r="D484">
        <f>(Prices!D776/Prices!D775)-1</f>
        <v>1.218150441579513E-2</v>
      </c>
      <c r="E484">
        <f>(Prices!E776/Prices!E775)-1</f>
        <v>-3.3588222682769953E-3</v>
      </c>
      <c r="F484">
        <f>(Prices!F776/Prices!F775)-1</f>
        <v>1.525077864890978E-3</v>
      </c>
      <c r="G484">
        <f t="shared" si="28"/>
        <v>-2.6972322688296529E-3</v>
      </c>
      <c r="H484" s="8">
        <f t="shared" si="31"/>
        <v>846551.17732313636</v>
      </c>
      <c r="I484" s="8">
        <f t="shared" si="29"/>
        <v>1067100.1647020529</v>
      </c>
      <c r="J484" s="13">
        <f t="shared" si="30"/>
        <v>-0.20668067972840815</v>
      </c>
    </row>
    <row r="485" spans="1:10" x14ac:dyDescent="0.25">
      <c r="A485" s="6">
        <v>45160</v>
      </c>
      <c r="B485">
        <f>(Prices!B775/Prices!B774)-1</f>
        <v>-5.4747379946816777E-3</v>
      </c>
      <c r="C485">
        <f>(Prices!C775/Prices!C774)-1</f>
        <v>-1.8090643646058169E-3</v>
      </c>
      <c r="D485">
        <f>(Prices!D775/Prices!D774)-1</f>
        <v>5.7172026544154431E-3</v>
      </c>
      <c r="E485">
        <f>(Prices!E775/Prices!E774)-1</f>
        <v>2.1163248923593336E-2</v>
      </c>
      <c r="F485">
        <f>(Prices!F775/Prices!F774)-1</f>
        <v>1.0834636095188532E-2</v>
      </c>
      <c r="G485">
        <f t="shared" si="28"/>
        <v>6.0862570627819648E-3</v>
      </c>
      <c r="H485" s="8">
        <f t="shared" si="31"/>
        <v>851703.50540512567</v>
      </c>
      <c r="I485" s="8">
        <f t="shared" si="29"/>
        <v>1067100.1647020529</v>
      </c>
      <c r="J485" s="13">
        <f t="shared" si="30"/>
        <v>-0.2018523344123638</v>
      </c>
    </row>
    <row r="486" spans="1:10" x14ac:dyDescent="0.25">
      <c r="A486" s="5">
        <v>45161</v>
      </c>
      <c r="B486">
        <f>(Prices!B774/Prices!B773)-1</f>
        <v>-2.4862721171446056E-2</v>
      </c>
      <c r="C486">
        <f>(Prices!C774/Prices!C773)-1</f>
        <v>-1.3895843765648452E-2</v>
      </c>
      <c r="D486">
        <f>(Prices!D774/Prices!D773)-1</f>
        <v>8.8577608404571961E-3</v>
      </c>
      <c r="E486">
        <f>(Prices!E774/Prices!E773)-1</f>
        <v>-6.7410843722818248E-3</v>
      </c>
      <c r="F486">
        <f>(Prices!F774/Prices!F773)-1</f>
        <v>5.940940066398781E-3</v>
      </c>
      <c r="G486">
        <f t="shared" si="28"/>
        <v>-6.1401896805040723E-3</v>
      </c>
      <c r="H486" s="8">
        <f t="shared" si="31"/>
        <v>846473.88433038793</v>
      </c>
      <c r="I486" s="8">
        <f t="shared" si="29"/>
        <v>1067100.1647020529</v>
      </c>
      <c r="J486" s="13">
        <f t="shared" si="30"/>
        <v>-0.20675311247212347</v>
      </c>
    </row>
    <row r="487" spans="1:10" x14ac:dyDescent="0.25">
      <c r="A487" s="6">
        <v>45162</v>
      </c>
      <c r="B487">
        <f>(Prices!B773/Prices!B772)-1</f>
        <v>1.991288114499068E-2</v>
      </c>
      <c r="C487">
        <f>(Prices!C773/Prices!C772)-1</f>
        <v>2.1973452742683586E-2</v>
      </c>
      <c r="D487">
        <f>(Prices!D773/Prices!D772)-1</f>
        <v>7.4712047317628816E-3</v>
      </c>
      <c r="E487">
        <f>(Prices!E773/Prices!E772)-1</f>
        <v>9.4319088732497391E-4</v>
      </c>
      <c r="F487">
        <f>(Prices!F773/Prices!F772)-1</f>
        <v>2.7376858888719102E-3</v>
      </c>
      <c r="G487">
        <f t="shared" si="28"/>
        <v>1.0607683079126809E-2</v>
      </c>
      <c r="H487" s="8">
        <f t="shared" si="31"/>
        <v>855453.01103012217</v>
      </c>
      <c r="I487" s="8">
        <f t="shared" si="29"/>
        <v>1067100.1647020529</v>
      </c>
      <c r="J487" s="13">
        <f t="shared" si="30"/>
        <v>-0.19833860088572394</v>
      </c>
    </row>
    <row r="488" spans="1:10" x14ac:dyDescent="0.25">
      <c r="A488" s="5">
        <v>45163</v>
      </c>
      <c r="B488">
        <f>(Prices!B772/Prices!B771)-1</f>
        <v>-7.7724234416287619E-4</v>
      </c>
      <c r="C488">
        <f>(Prices!C772/Prices!C771)-1</f>
        <v>-9.3158845337304452E-3</v>
      </c>
      <c r="D488">
        <f>(Prices!D772/Prices!D771)-1</f>
        <v>-1.7534916913038989E-2</v>
      </c>
      <c r="E488">
        <f>(Prices!E772/Prices!E771)-1</f>
        <v>1.2349266308298024E-3</v>
      </c>
      <c r="F488">
        <f>(Prices!F772/Prices!F771)-1</f>
        <v>-2.0763211959611283E-3</v>
      </c>
      <c r="G488">
        <f t="shared" si="28"/>
        <v>-5.6938876712127268E-3</v>
      </c>
      <c r="H488" s="8">
        <f t="shared" si="31"/>
        <v>850582.15767731599</v>
      </c>
      <c r="I488" s="8">
        <f t="shared" si="29"/>
        <v>1067100.1647020529</v>
      </c>
      <c r="J488" s="13">
        <f t="shared" si="30"/>
        <v>-0.20290317084262785</v>
      </c>
    </row>
    <row r="489" spans="1:10" x14ac:dyDescent="0.25">
      <c r="A489" s="6">
        <v>45166</v>
      </c>
      <c r="B489">
        <f>(Prices!B771/Prices!B770)-1</f>
        <v>-8.6299892125135669E-3</v>
      </c>
      <c r="C489">
        <f>(Prices!C771/Prices!C770)-1</f>
        <v>-2.2131588099529864E-3</v>
      </c>
      <c r="D489">
        <f>(Prices!D771/Prices!D770)-1</f>
        <v>-8.3906186817630513E-3</v>
      </c>
      <c r="E489">
        <f>(Prices!E771/Prices!E770)-1</f>
        <v>-3.4747357753003305E-3</v>
      </c>
      <c r="F489">
        <f>(Prices!F771/Prices!F770)-1</f>
        <v>-4.4171725743629153E-3</v>
      </c>
      <c r="G489">
        <f t="shared" si="28"/>
        <v>-5.4251350107785701E-3</v>
      </c>
      <c r="H489" s="8">
        <f t="shared" si="31"/>
        <v>845967.63463415718</v>
      </c>
      <c r="I489" s="8">
        <f t="shared" si="29"/>
        <v>1067100.1647020529</v>
      </c>
      <c r="J489" s="13">
        <f t="shared" si="30"/>
        <v>-0.20722752875747011</v>
      </c>
    </row>
    <row r="490" spans="1:10" x14ac:dyDescent="0.25">
      <c r="A490" s="5">
        <v>45167</v>
      </c>
      <c r="B490">
        <f>(Prices!B770/Prices!B769)-1</f>
        <v>-2.6406601650412642E-2</v>
      </c>
      <c r="C490">
        <f>(Prices!C770/Prices!C769)-1</f>
        <v>-1.4335130418523412E-2</v>
      </c>
      <c r="D490">
        <f>(Prices!D770/Prices!D769)-1</f>
        <v>-5.8291457286432369E-3</v>
      </c>
      <c r="E490">
        <f>(Prices!E770/Prices!E769)-1</f>
        <v>-8.0425104121787383E-3</v>
      </c>
      <c r="F490">
        <f>(Prices!F770/Prices!F769)-1</f>
        <v>-3.1451997744131877E-3</v>
      </c>
      <c r="G490">
        <f t="shared" si="28"/>
        <v>-1.1551717596834246E-2</v>
      </c>
      <c r="H490" s="8">
        <f t="shared" si="31"/>
        <v>836195.25542280148</v>
      </c>
      <c r="I490" s="8">
        <f t="shared" si="29"/>
        <v>1067100.1647020529</v>
      </c>
      <c r="J490" s="13">
        <f t="shared" si="30"/>
        <v>-0.21638541246380827</v>
      </c>
    </row>
    <row r="491" spans="1:10" x14ac:dyDescent="0.25">
      <c r="A491" s="6">
        <v>45168</v>
      </c>
      <c r="B491">
        <f>(Prices!B769/Prices!B768)-1</f>
        <v>-9.6582466567606273E-3</v>
      </c>
      <c r="C491">
        <f>(Prices!C769/Prices!C768)-1</f>
        <v>-1.1828057397205161E-3</v>
      </c>
      <c r="D491">
        <f>(Prices!D769/Prices!D768)-1</f>
        <v>-9.6546232706280488E-3</v>
      </c>
      <c r="E491">
        <f>(Prices!E769/Prices!E768)-1</f>
        <v>4.0374909877434195E-3</v>
      </c>
      <c r="F491">
        <f>(Prices!F769/Prices!F768)-1</f>
        <v>2.6533275337101703E-3</v>
      </c>
      <c r="G491">
        <f t="shared" si="28"/>
        <v>-2.7609714291311209E-3</v>
      </c>
      <c r="H491" s="8">
        <f t="shared" si="31"/>
        <v>833886.54421340418</v>
      </c>
      <c r="I491" s="8">
        <f t="shared" si="29"/>
        <v>1067100.1647020529</v>
      </c>
      <c r="J491" s="13">
        <f t="shared" si="30"/>
        <v>-0.21854894995144603</v>
      </c>
    </row>
    <row r="492" spans="1:10" x14ac:dyDescent="0.25">
      <c r="A492" s="5">
        <v>45169</v>
      </c>
      <c r="B492">
        <f>(Prices!B768/Prices!B767)-1</f>
        <v>-2.1498999184520473E-3</v>
      </c>
      <c r="C492">
        <f>(Prices!C768/Prices!C767)-1</f>
        <v>3.153687628801638E-3</v>
      </c>
      <c r="D492">
        <f>(Prices!D768/Prices!D767)-1</f>
        <v>-2.7791563275434417E-3</v>
      </c>
      <c r="E492">
        <f>(Prices!E768/Prices!E767)-1</f>
        <v>1.2556577602569785E-2</v>
      </c>
      <c r="F492">
        <f>(Prices!F768/Prices!F767)-1</f>
        <v>3.1381081626701945E-2</v>
      </c>
      <c r="G492">
        <f t="shared" si="28"/>
        <v>8.4324581224155763E-3</v>
      </c>
      <c r="H492" s="8">
        <f t="shared" si="31"/>
        <v>840918.25757632952</v>
      </c>
      <c r="I492" s="8">
        <f t="shared" si="29"/>
        <v>1067100.1647020529</v>
      </c>
      <c r="J492" s="13">
        <f t="shared" si="30"/>
        <v>-0.21195939669719394</v>
      </c>
    </row>
    <row r="493" spans="1:10" x14ac:dyDescent="0.25">
      <c r="A493" s="6">
        <v>45170</v>
      </c>
      <c r="B493">
        <f>(Prices!B767/Prices!B766)-1</f>
        <v>3.7952076201814844E-3</v>
      </c>
      <c r="C493">
        <f>(Prices!C767/Prices!C766)-1</f>
        <v>-2.7402379024724643E-3</v>
      </c>
      <c r="D493">
        <f>(Prices!D767/Prices!D766)-1</f>
        <v>-2.0608535044230658E-2</v>
      </c>
      <c r="E493">
        <f>(Prices!E767/Prices!E766)-1</f>
        <v>-3.3469150174622042E-3</v>
      </c>
      <c r="F493">
        <f>(Prices!F767/Prices!F766)-1</f>
        <v>6.95847362514046E-4</v>
      </c>
      <c r="G493">
        <f t="shared" si="28"/>
        <v>-4.4409265962939591E-3</v>
      </c>
      <c r="H493" s="8">
        <f t="shared" si="31"/>
        <v>837183.80132094969</v>
      </c>
      <c r="I493" s="8">
        <f t="shared" si="29"/>
        <v>1067100.1647020529</v>
      </c>
      <c r="J493" s="13">
        <f t="shared" si="30"/>
        <v>-0.21545902717136084</v>
      </c>
    </row>
    <row r="494" spans="1:10" x14ac:dyDescent="0.25">
      <c r="A494" s="5">
        <v>45174</v>
      </c>
      <c r="B494">
        <f>(Prices!B766/Prices!B765)-1</f>
        <v>-8.1790467692777202E-4</v>
      </c>
      <c r="C494">
        <f>(Prices!C766/Prices!C765)-1</f>
        <v>-1.4666175748650034E-2</v>
      </c>
      <c r="D494">
        <f>(Prices!D766/Prices!D765)-1</f>
        <v>-9.7200622083848387E-5</v>
      </c>
      <c r="E494">
        <f>(Prices!E766/Prices!E765)-1</f>
        <v>1.1108658868535182E-2</v>
      </c>
      <c r="F494">
        <f>(Prices!F766/Prices!F765)-1</f>
        <v>-9.4937412455254888E-3</v>
      </c>
      <c r="G494">
        <f t="shared" si="28"/>
        <v>-2.7932726849303931E-3</v>
      </c>
      <c r="H494" s="8">
        <f t="shared" si="31"/>
        <v>834845.31867645367</v>
      </c>
      <c r="I494" s="8">
        <f t="shared" si="29"/>
        <v>1067100.1647020529</v>
      </c>
      <c r="J494" s="13">
        <f t="shared" si="30"/>
        <v>-0.21765046404097182</v>
      </c>
    </row>
    <row r="495" spans="1:10" x14ac:dyDescent="0.25">
      <c r="A495" s="6">
        <v>45175</v>
      </c>
      <c r="B495">
        <f>(Prices!B765/Prices!B764)-1</f>
        <v>9.7604925294692002E-3</v>
      </c>
      <c r="C495">
        <f>(Prices!C765/Prices!C764)-1</f>
        <v>2.0291459140380219E-3</v>
      </c>
      <c r="D495">
        <f>(Prices!D765/Prices!D764)-1</f>
        <v>-8.4811102544334327E-3</v>
      </c>
      <c r="E495">
        <f>(Prices!E765/Prices!E764)-1</f>
        <v>1.6949152542373724E-3</v>
      </c>
      <c r="F495">
        <f>(Prices!F765/Prices!F764)-1</f>
        <v>8.1138630505435128E-3</v>
      </c>
      <c r="G495">
        <f t="shared" si="28"/>
        <v>2.6234612987709348E-3</v>
      </c>
      <c r="H495" s="8">
        <f t="shared" si="31"/>
        <v>837035.50306046149</v>
      </c>
      <c r="I495" s="8">
        <f t="shared" si="29"/>
        <v>1067100.1647020529</v>
      </c>
      <c r="J495" s="13">
        <f t="shared" si="30"/>
        <v>-0.21559800031127185</v>
      </c>
    </row>
    <row r="496" spans="1:10" x14ac:dyDescent="0.25">
      <c r="A496" s="5">
        <v>45176</v>
      </c>
      <c r="B496">
        <f>(Prices!B764/Prices!B763)-1</f>
        <v>-5.9705948205091008E-3</v>
      </c>
      <c r="C496">
        <f>(Prices!C764/Prices!C763)-1</f>
        <v>8.9961533689042472E-3</v>
      </c>
      <c r="D496">
        <f>(Prices!D764/Prices!D763)-1</f>
        <v>4.8421460391245841E-3</v>
      </c>
      <c r="E496">
        <f>(Prices!E764/Prices!E763)-1</f>
        <v>8.6219711609929472E-3</v>
      </c>
      <c r="F496">
        <f>(Prices!F764/Prices!F763)-1</f>
        <v>-1.6228969592732234E-2</v>
      </c>
      <c r="G496">
        <f t="shared" si="28"/>
        <v>5.2141231156088534E-5</v>
      </c>
      <c r="H496" s="8">
        <f t="shared" si="31"/>
        <v>837079.14712211234</v>
      </c>
      <c r="I496" s="8">
        <f t="shared" si="29"/>
        <v>1067100.1647020529</v>
      </c>
      <c r="J496" s="13">
        <f t="shared" si="30"/>
        <v>-0.21555710062528685</v>
      </c>
    </row>
    <row r="497" spans="1:10" x14ac:dyDescent="0.25">
      <c r="A497" s="6">
        <v>45177</v>
      </c>
      <c r="B497">
        <f>(Prices!B763/Prices!B762)-1</f>
        <v>-8.1427196683692138E-3</v>
      </c>
      <c r="C497">
        <f>(Prices!C763/Prices!C762)-1</f>
        <v>-1.3042679566468651E-2</v>
      </c>
      <c r="D497">
        <f>(Prices!D763/Prices!D762)-1</f>
        <v>-1.4318442153493649E-2</v>
      </c>
      <c r="E497">
        <f>(Prices!E763/Prices!E762)-1</f>
        <v>-7.4272133095654169E-4</v>
      </c>
      <c r="F497">
        <f>(Prices!F763/Prices!F762)-1</f>
        <v>4.4963232036856482E-3</v>
      </c>
      <c r="G497">
        <f t="shared" si="28"/>
        <v>-6.3500479031204822E-3</v>
      </c>
      <c r="H497" s="8">
        <f t="shared" si="31"/>
        <v>831763.65443918377</v>
      </c>
      <c r="I497" s="8">
        <f t="shared" si="29"/>
        <v>1067100.1647020529</v>
      </c>
      <c r="J497" s="13">
        <f t="shared" si="30"/>
        <v>-0.22053835061357893</v>
      </c>
    </row>
    <row r="498" spans="1:10" x14ac:dyDescent="0.25">
      <c r="A498" s="5">
        <v>45180</v>
      </c>
      <c r="B498">
        <f>(Prices!B762/Prices!B761)-1</f>
        <v>-3.9814200398141653E-3</v>
      </c>
      <c r="C498">
        <f>(Prices!C762/Prices!C761)-1</f>
        <v>-1.0871869416431923E-2</v>
      </c>
      <c r="D498">
        <f>(Prices!D762/Prices!D761)-1</f>
        <v>1.2663122281295403E-2</v>
      </c>
      <c r="E498">
        <f>(Prices!E762/Prices!E761)-1</f>
        <v>-4.3629372180729042E-3</v>
      </c>
      <c r="F498">
        <f>(Prices!F762/Prices!F761)-1</f>
        <v>2.8877337953707727E-3</v>
      </c>
      <c r="G498">
        <f t="shared" si="28"/>
        <v>-7.3307411953056373E-4</v>
      </c>
      <c r="H498" s="8">
        <f t="shared" si="31"/>
        <v>831153.91003054823</v>
      </c>
      <c r="I498" s="8">
        <f t="shared" si="29"/>
        <v>1067100.1647020529</v>
      </c>
      <c r="J498" s="13">
        <f t="shared" si="30"/>
        <v>-0.22110975377591074</v>
      </c>
    </row>
    <row r="499" spans="1:10" x14ac:dyDescent="0.25">
      <c r="A499" s="6">
        <v>45181</v>
      </c>
      <c r="B499">
        <f>(Prices!B761/Prices!B760)-1</f>
        <v>1.1711174101148636E-2</v>
      </c>
      <c r="C499">
        <f>(Prices!C761/Prices!C760)-1</f>
        <v>1.8600777345918917E-2</v>
      </c>
      <c r="D499">
        <f>(Prices!D761/Prices!D760)-1</f>
        <v>-2.8273529964305766E-2</v>
      </c>
      <c r="E499">
        <f>(Prices!E761/Prices!E760)-1</f>
        <v>-1.2847653113366109E-2</v>
      </c>
      <c r="F499">
        <f>(Prices!F761/Prices!F760)-1</f>
        <v>-1.0872700645705446E-3</v>
      </c>
      <c r="G499">
        <f t="shared" si="28"/>
        <v>-2.3793003390349733E-3</v>
      </c>
      <c r="H499" s="8">
        <f t="shared" si="31"/>
        <v>829176.34525062225</v>
      </c>
      <c r="I499" s="8">
        <f t="shared" si="29"/>
        <v>1067100.1647020529</v>
      </c>
      <c r="J499" s="13">
        <f t="shared" si="30"/>
        <v>-0.2229629676028228</v>
      </c>
    </row>
    <row r="500" spans="1:10" x14ac:dyDescent="0.25">
      <c r="A500" s="5">
        <v>45182</v>
      </c>
      <c r="B500">
        <f>(Prices!B760/Prices!B759)-1</f>
        <v>-1.0042829714960733E-2</v>
      </c>
      <c r="C500">
        <f>(Prices!C760/Prices!C759)-1</f>
        <v>-1.2759996345585778E-2</v>
      </c>
      <c r="D500">
        <f>(Prices!D760/Prices!D759)-1</f>
        <v>9.0038858875933769E-3</v>
      </c>
      <c r="E500">
        <f>(Prices!E760/Prices!E759)-1</f>
        <v>-5.107252298263143E-4</v>
      </c>
      <c r="F500">
        <f>(Prices!F760/Prices!F759)-1</f>
        <v>1.3315283726500482E-4</v>
      </c>
      <c r="G500">
        <f t="shared" si="28"/>
        <v>-2.8353025131028888E-3</v>
      </c>
      <c r="H500" s="8">
        <f t="shared" si="31"/>
        <v>826825.37947512767</v>
      </c>
      <c r="I500" s="8">
        <f t="shared" si="29"/>
        <v>1067100.1647020529</v>
      </c>
      <c r="J500" s="13">
        <f t="shared" si="30"/>
        <v>-0.22516610265355255</v>
      </c>
    </row>
    <row r="501" spans="1:10" x14ac:dyDescent="0.25">
      <c r="A501" s="6">
        <v>45183</v>
      </c>
      <c r="B501">
        <f>(Prices!B759/Prices!B758)-1</f>
        <v>-1.0087719298245812E-2</v>
      </c>
      <c r="C501">
        <f>(Prices!C759/Prices!C758)-1</f>
        <v>-7.7957395376944127E-3</v>
      </c>
      <c r="D501">
        <f>(Prices!D759/Prices!D758)-1</f>
        <v>-1.7597765363128515E-2</v>
      </c>
      <c r="E501">
        <f>(Prices!E759/Prices!E758)-1</f>
        <v>-1.9038076152304573E-2</v>
      </c>
      <c r="F501">
        <f>(Prices!F759/Prices!F758)-1</f>
        <v>-7.7729334566433161E-3</v>
      </c>
      <c r="G501">
        <f t="shared" si="28"/>
        <v>-1.2458446761603325E-2</v>
      </c>
      <c r="H501" s="8">
        <f t="shared" si="31"/>
        <v>816524.41950379428</v>
      </c>
      <c r="I501" s="8">
        <f t="shared" si="29"/>
        <v>1067100.1647020529</v>
      </c>
      <c r="J501" s="13">
        <f t="shared" si="30"/>
        <v>-0.23481932951272891</v>
      </c>
    </row>
    <row r="502" spans="1:10" x14ac:dyDescent="0.25">
      <c r="A502" s="5">
        <v>45184</v>
      </c>
      <c r="B502">
        <f>(Prices!B758/Prices!B757)-1</f>
        <v>5.143277002204405E-3</v>
      </c>
      <c r="C502">
        <f>(Prices!C758/Prices!C757)-1</f>
        <v>2.5692679600818114E-2</v>
      </c>
      <c r="D502">
        <f>(Prices!D758/Prices!D757)-1</f>
        <v>1.5602836879432758E-2</v>
      </c>
      <c r="E502">
        <f>(Prices!E758/Prices!E757)-1</f>
        <v>2.94307659177373E-3</v>
      </c>
      <c r="F502">
        <f>(Prices!F758/Prices!F757)-1</f>
        <v>-6.3669182802756907E-3</v>
      </c>
      <c r="G502">
        <f t="shared" si="28"/>
        <v>8.6029903587906634E-3</v>
      </c>
      <c r="H502" s="8">
        <f t="shared" si="31"/>
        <v>823548.97121250269</v>
      </c>
      <c r="I502" s="8">
        <f t="shared" si="29"/>
        <v>1067100.1647020529</v>
      </c>
      <c r="J502" s="13">
        <f t="shared" si="30"/>
        <v>-0.22823648758179382</v>
      </c>
    </row>
    <row r="503" spans="1:10" x14ac:dyDescent="0.25">
      <c r="A503" s="6">
        <v>45187</v>
      </c>
      <c r="B503">
        <f>(Prices!B757/Prices!B756)-1</f>
        <v>-5.9162953765247162E-3</v>
      </c>
      <c r="C503">
        <f>(Prices!C757/Prices!C756)-1</f>
        <v>3.5144465524215018E-3</v>
      </c>
      <c r="D503">
        <f>(Prices!D757/Prices!D756)-1</f>
        <v>-7.9737335834896284E-3</v>
      </c>
      <c r="E503">
        <f>(Prices!E757/Prices!E756)-1</f>
        <v>-2.0773638968480945E-3</v>
      </c>
      <c r="F503">
        <f>(Prices!F757/Prices!F756)-1</f>
        <v>1.3144922773580259E-3</v>
      </c>
      <c r="G503">
        <f t="shared" si="28"/>
        <v>-2.2276908054165824E-3</v>
      </c>
      <c r="H503" s="8">
        <f t="shared" si="31"/>
        <v>821714.3587415223</v>
      </c>
      <c r="I503" s="8">
        <f t="shared" si="29"/>
        <v>1067100.1647020529</v>
      </c>
      <c r="J503" s="13">
        <f t="shared" si="30"/>
        <v>-0.22995573806236388</v>
      </c>
    </row>
    <row r="504" spans="1:10" x14ac:dyDescent="0.25">
      <c r="A504" s="5">
        <v>45188</v>
      </c>
      <c r="B504">
        <f>(Prices!B756/Prices!B755)-1</f>
        <v>1.243235337136106E-3</v>
      </c>
      <c r="C504">
        <f>(Prices!C756/Prices!C755)-1</f>
        <v>1.2456014698096762E-3</v>
      </c>
      <c r="D504">
        <f>(Prices!D756/Prices!D755)-1</f>
        <v>2.6335590669677167E-3</v>
      </c>
      <c r="E504">
        <f>(Prices!E756/Prices!E755)-1</f>
        <v>1.2910629751829994E-3</v>
      </c>
      <c r="F504">
        <f>(Prices!F756/Prices!F755)-1</f>
        <v>1.1232221188355762E-2</v>
      </c>
      <c r="G504">
        <f t="shared" si="28"/>
        <v>3.5291360074904523E-3</v>
      </c>
      <c r="H504" s="8">
        <f t="shared" si="31"/>
        <v>824614.30047282903</v>
      </c>
      <c r="I504" s="8">
        <f t="shared" si="29"/>
        <v>1067100.1647020529</v>
      </c>
      <c r="J504" s="13">
        <f t="shared" si="30"/>
        <v>-0.22723814713019827</v>
      </c>
    </row>
    <row r="505" spans="1:10" x14ac:dyDescent="0.25">
      <c r="A505" s="6">
        <v>45189</v>
      </c>
      <c r="B505">
        <f>(Prices!B755/Prices!B754)-1</f>
        <v>3.2155797101449446E-2</v>
      </c>
      <c r="C505">
        <f>(Prices!C755/Prices!C754)-1</f>
        <v>2.4566888938518883E-2</v>
      </c>
      <c r="D505">
        <f>(Prices!D755/Prices!D754)-1</f>
        <v>7.9635949943115403E-3</v>
      </c>
      <c r="E505">
        <f>(Prices!E755/Prices!E754)-1</f>
        <v>4.249801916012208E-3</v>
      </c>
      <c r="F505">
        <f>(Prices!F755/Prices!F754)-1</f>
        <v>-2.3304122038299235E-2</v>
      </c>
      <c r="G505">
        <f t="shared" si="28"/>
        <v>9.126392182398569E-3</v>
      </c>
      <c r="H505" s="8">
        <f t="shared" si="31"/>
        <v>832140.05397815828</v>
      </c>
      <c r="I505" s="8">
        <f t="shared" si="29"/>
        <v>1067100.1647020529</v>
      </c>
      <c r="J505" s="13">
        <f t="shared" si="30"/>
        <v>-0.22018561939731152</v>
      </c>
    </row>
    <row r="506" spans="1:10" x14ac:dyDescent="0.25">
      <c r="A506" s="5">
        <v>45190</v>
      </c>
      <c r="B506">
        <f>(Prices!B754/Prices!B753)-1</f>
        <v>2.5307638727652515E-2</v>
      </c>
      <c r="C506">
        <f>(Prices!C754/Prices!C753)-1</f>
        <v>3.8754724232912263E-3</v>
      </c>
      <c r="D506">
        <f>(Prices!D754/Prices!D753)-1</f>
        <v>1.4328300798153837E-2</v>
      </c>
      <c r="E506">
        <f>(Prices!E754/Prices!E753)-1</f>
        <v>7.9134601422972128E-3</v>
      </c>
      <c r="F506">
        <f>(Prices!F754/Prices!F753)-1</f>
        <v>-1.7976668579078314E-2</v>
      </c>
      <c r="G506">
        <f t="shared" si="28"/>
        <v>6.689640702463296E-3</v>
      </c>
      <c r="H506" s="8">
        <f t="shared" si="31"/>
        <v>837706.77195340057</v>
      </c>
      <c r="I506" s="8">
        <f t="shared" si="29"/>
        <v>1067100.1647020529</v>
      </c>
      <c r="J506" s="13">
        <f t="shared" si="30"/>
        <v>-0.21496894137646558</v>
      </c>
    </row>
    <row r="507" spans="1:10" x14ac:dyDescent="0.25">
      <c r="A507" s="6">
        <v>45191</v>
      </c>
      <c r="B507">
        <f>(Prices!B753/Prices!B752)-1</f>
        <v>1.4726399007904956E-3</v>
      </c>
      <c r="C507">
        <f>(Prices!C753/Prices!C752)-1</f>
        <v>7.9416322314049825E-3</v>
      </c>
      <c r="D507">
        <f>(Prices!D753/Prices!D752)-1</f>
        <v>-1.5362457993279843E-3</v>
      </c>
      <c r="E507">
        <f>(Prices!E753/Prices!E752)-1</f>
        <v>9.6760005864244825E-3</v>
      </c>
      <c r="F507">
        <f>(Prices!F753/Prices!F752)-1</f>
        <v>-9.8049529740988906E-3</v>
      </c>
      <c r="G507">
        <f t="shared" si="28"/>
        <v>1.549814789038617E-3</v>
      </c>
      <c r="H507" s="8">
        <f t="shared" si="31"/>
        <v>839005.06229745178</v>
      </c>
      <c r="I507" s="8">
        <f t="shared" si="29"/>
        <v>1067100.1647020529</v>
      </c>
      <c r="J507" s="13">
        <f t="shared" si="30"/>
        <v>-0.21375228863195617</v>
      </c>
    </row>
    <row r="508" spans="1:10" x14ac:dyDescent="0.25">
      <c r="A508" s="5">
        <v>45194</v>
      </c>
      <c r="B508">
        <f>(Prices!B752/Prices!B751)-1</f>
        <v>-6.5450065450064487E-3</v>
      </c>
      <c r="C508">
        <f>(Prices!C752/Prices!C751)-1</f>
        <v>-1.643729654816739E-3</v>
      </c>
      <c r="D508">
        <f>(Prices!D752/Prices!D751)-1</f>
        <v>-1.1109001139384622E-2</v>
      </c>
      <c r="E508">
        <f>(Prices!E752/Prices!E751)-1</f>
        <v>-4.9598832968636986E-3</v>
      </c>
      <c r="F508">
        <f>(Prices!F752/Prices!F751)-1</f>
        <v>-8.2011686143572682E-3</v>
      </c>
      <c r="G508">
        <f t="shared" si="28"/>
        <v>-6.491757850085756E-3</v>
      </c>
      <c r="H508" s="8">
        <f t="shared" si="31"/>
        <v>833558.44459802064</v>
      </c>
      <c r="I508" s="8">
        <f t="shared" si="29"/>
        <v>1067100.1647020529</v>
      </c>
      <c r="J508" s="13">
        <f t="shared" si="30"/>
        <v>-0.21885641838434158</v>
      </c>
    </row>
    <row r="509" spans="1:10" x14ac:dyDescent="0.25">
      <c r="A509" s="6">
        <v>45195</v>
      </c>
      <c r="B509">
        <f>(Prices!B751/Prices!B750)-1</f>
        <v>1.9707914572864471E-2</v>
      </c>
      <c r="C509">
        <f>(Prices!C751/Prices!C750)-1</f>
        <v>1.7278688524590136E-2</v>
      </c>
      <c r="D509">
        <f>(Prices!D751/Prices!D750)-1</f>
        <v>-1.5168752370118277E-3</v>
      </c>
      <c r="E509">
        <f>(Prices!E751/Prices!E750)-1</f>
        <v>1.0540281565563525E-2</v>
      </c>
      <c r="F509">
        <f>(Prices!F751/Prices!F750)-1</f>
        <v>9.5647410778241237E-3</v>
      </c>
      <c r="G509">
        <f t="shared" si="28"/>
        <v>1.1114950100766085E-2</v>
      </c>
      <c r="H509" s="8">
        <f t="shared" si="31"/>
        <v>842823.40511579986</v>
      </c>
      <c r="I509" s="8">
        <f t="shared" si="29"/>
        <v>1067100.1647020529</v>
      </c>
      <c r="J509" s="13">
        <f t="shared" si="30"/>
        <v>-0.2101740464531498</v>
      </c>
    </row>
    <row r="510" spans="1:10" x14ac:dyDescent="0.25">
      <c r="A510" s="5">
        <v>45196</v>
      </c>
      <c r="B510">
        <f>(Prices!B750/Prices!B749)-1</f>
        <v>-1.508004021344056E-2</v>
      </c>
      <c r="C510">
        <f>(Prices!C750/Prices!C749)-1</f>
        <v>-2.0613159702909112E-3</v>
      </c>
      <c r="D510">
        <f>(Prices!D750/Prices!D749)-1</f>
        <v>-3.1582813073815608E-2</v>
      </c>
      <c r="E510">
        <f>(Prices!E750/Prices!E749)-1</f>
        <v>-5.8620942331648607E-3</v>
      </c>
      <c r="F510">
        <f>(Prices!F750/Prices!F749)-1</f>
        <v>3.4034457245535332E-3</v>
      </c>
      <c r="G510">
        <f t="shared" si="28"/>
        <v>-1.0236563553231682E-2</v>
      </c>
      <c r="H510" s="8">
        <f t="shared" si="31"/>
        <v>834195.7897651809</v>
      </c>
      <c r="I510" s="8">
        <f t="shared" si="29"/>
        <v>1067100.1647020529</v>
      </c>
      <c r="J510" s="13">
        <f t="shared" si="30"/>
        <v>-0.21825915002262389</v>
      </c>
    </row>
    <row r="511" spans="1:10" x14ac:dyDescent="0.25">
      <c r="A511" s="6">
        <v>45197</v>
      </c>
      <c r="B511">
        <f>(Prices!B749/Prices!B748)-1</f>
        <v>-1.3352662902487378E-2</v>
      </c>
      <c r="C511">
        <f>(Prices!C749/Prices!C748)-1</f>
        <v>-2.7083469294524321E-3</v>
      </c>
      <c r="D511">
        <f>(Prices!D749/Prices!D748)-1</f>
        <v>6.096434509514026E-3</v>
      </c>
      <c r="E511">
        <f>(Prices!E749/Prices!E748)-1</f>
        <v>-1.2232194557035281E-2</v>
      </c>
      <c r="F511">
        <f>(Prices!F749/Prices!F748)-1</f>
        <v>-1.2483560528568027E-2</v>
      </c>
      <c r="G511">
        <f t="shared" si="28"/>
        <v>-6.9360660816058187E-3</v>
      </c>
      <c r="H511" s="8">
        <f t="shared" si="31"/>
        <v>828409.75264237227</v>
      </c>
      <c r="I511" s="8">
        <f t="shared" si="29"/>
        <v>1067100.1647020529</v>
      </c>
      <c r="J511" s="13">
        <f t="shared" si="30"/>
        <v>-0.22368135621675767</v>
      </c>
    </row>
    <row r="512" spans="1:10" x14ac:dyDescent="0.25">
      <c r="A512" s="5">
        <v>45198</v>
      </c>
      <c r="B512">
        <f>(Prices!B748/Prices!B747)-1</f>
        <v>1.103139705315126E-2</v>
      </c>
      <c r="C512">
        <f>(Prices!C748/Prices!C747)-1</f>
        <v>-6.6770387657202335E-3</v>
      </c>
      <c r="D512">
        <f>(Prices!D748/Prices!D747)-1</f>
        <v>1.6048803378695631E-2</v>
      </c>
      <c r="E512">
        <f>(Prices!E748/Prices!E747)-1</f>
        <v>1.7678255745433136E-2</v>
      </c>
      <c r="F512">
        <f>(Prices!F748/Prices!F747)-1</f>
        <v>1.1721720030412941E-2</v>
      </c>
      <c r="G512">
        <f t="shared" si="28"/>
        <v>9.9606274883945467E-3</v>
      </c>
      <c r="H512" s="8">
        <f t="shared" si="31"/>
        <v>836661.23359619605</v>
      </c>
      <c r="I512" s="8">
        <f t="shared" si="29"/>
        <v>1067100.1647020529</v>
      </c>
      <c r="J512" s="13">
        <f t="shared" si="30"/>
        <v>-0.2159487353937371</v>
      </c>
    </row>
    <row r="513" spans="1:10" x14ac:dyDescent="0.25">
      <c r="A513" s="6">
        <v>45201</v>
      </c>
      <c r="B513">
        <f>(Prices!B747/Prices!B746)-1</f>
        <v>-2.4678353773230022E-2</v>
      </c>
      <c r="C513">
        <f>(Prices!C747/Prices!C746)-1</f>
        <v>-1.8827121231395516E-2</v>
      </c>
      <c r="D513">
        <f>(Prices!D747/Prices!D746)-1</f>
        <v>1.689253674365343E-2</v>
      </c>
      <c r="E513">
        <f>(Prices!E747/Prices!E746)-1</f>
        <v>8.6930678356489377E-3</v>
      </c>
      <c r="F513">
        <f>(Prices!F747/Prices!F746)-1</f>
        <v>-2.0176727438279918E-2</v>
      </c>
      <c r="G513">
        <f t="shared" si="28"/>
        <v>-7.6193195727206177E-3</v>
      </c>
      <c r="H513" s="8">
        <f t="shared" si="31"/>
        <v>830286.44428331999</v>
      </c>
      <c r="I513" s="8">
        <f t="shared" si="29"/>
        <v>1067100.1647020529</v>
      </c>
      <c r="J513" s="13">
        <f t="shared" si="30"/>
        <v>-0.22192267254016793</v>
      </c>
    </row>
    <row r="514" spans="1:10" x14ac:dyDescent="0.25">
      <c r="A514" s="5">
        <v>45202</v>
      </c>
      <c r="B514">
        <f>(Prices!B746/Prices!B745)-1</f>
        <v>1.3187985973471594E-2</v>
      </c>
      <c r="C514">
        <f>(Prices!C746/Prices!C745)-1</f>
        <v>2.6843445888576678E-2</v>
      </c>
      <c r="D514">
        <f>(Prices!D746/Prices!D745)-1</f>
        <v>-1.7149390243901275E-3</v>
      </c>
      <c r="E514">
        <f>(Prices!E746/Prices!E745)-1</f>
        <v>7.4101796407186615E-3</v>
      </c>
      <c r="F514">
        <f>(Prices!F746/Prices!F745)-1</f>
        <v>1.0011704706964331E-2</v>
      </c>
      <c r="G514">
        <f t="shared" ref="G514:G577" si="32">B514*20%+C514*20%+D514*20%+E514*20%+F514*20%</f>
        <v>1.1147675437068228E-2</v>
      </c>
      <c r="H514" s="8">
        <f t="shared" si="31"/>
        <v>839542.20808398793</v>
      </c>
      <c r="I514" s="8">
        <f t="shared" ref="I514:I577" si="33">MAX(I513,H514)</f>
        <v>1067100.1647020529</v>
      </c>
      <c r="J514" s="13">
        <f t="shared" ref="J514:J577" si="34">(H514-I514)/I514</f>
        <v>-0.21324891902870421</v>
      </c>
    </row>
    <row r="515" spans="1:10" x14ac:dyDescent="0.25">
      <c r="A515" s="6">
        <v>45203</v>
      </c>
      <c r="B515">
        <f>(Prices!B745/Prices!B744)-1</f>
        <v>-2.0825557960737373E-2</v>
      </c>
      <c r="C515">
        <f>(Prices!C745/Prices!C744)-1</f>
        <v>-1.7454918821792953E-2</v>
      </c>
      <c r="D515">
        <f>(Prices!D745/Prices!D744)-1</f>
        <v>3.8796516231195399E-2</v>
      </c>
      <c r="E515">
        <f>(Prices!E745/Prices!E744)-1</f>
        <v>-4.3967508756241891E-3</v>
      </c>
      <c r="F515">
        <f>(Prices!F745/Prices!F744)-1</f>
        <v>-2.2522522522522292E-3</v>
      </c>
      <c r="G515">
        <f t="shared" si="32"/>
        <v>-1.2265927358422698E-3</v>
      </c>
      <c r="H515" s="8">
        <f t="shared" si="31"/>
        <v>838512.43171011913</v>
      </c>
      <c r="I515" s="8">
        <f t="shared" si="33"/>
        <v>1067100.1647020529</v>
      </c>
      <c r="J515" s="13">
        <f t="shared" si="34"/>
        <v>-0.21421394218953965</v>
      </c>
    </row>
    <row r="516" spans="1:10" x14ac:dyDescent="0.25">
      <c r="A516" s="5">
        <v>45204</v>
      </c>
      <c r="B516">
        <f>(Prices!B744/Prices!B743)-1</f>
        <v>1.2705530642749263E-3</v>
      </c>
      <c r="C516">
        <f>(Prices!C744/Prices!C743)-1</f>
        <v>-1.249799711584676E-3</v>
      </c>
      <c r="D516">
        <f>(Prices!D744/Prices!D743)-1</f>
        <v>2.3086269744835963E-2</v>
      </c>
      <c r="E516">
        <f>(Prices!E744/Prices!E743)-1</f>
        <v>-4.2297417631343981E-3</v>
      </c>
      <c r="F516">
        <f>(Prices!F744/Prices!F743)-1</f>
        <v>-1.0850282602417605E-2</v>
      </c>
      <c r="G516">
        <f t="shared" si="32"/>
        <v>1.6053997463948426E-3</v>
      </c>
      <c r="H516" s="8">
        <f t="shared" ref="H516:H579" si="35">H515*(1+G516)</f>
        <v>839858.57935533556</v>
      </c>
      <c r="I516" s="8">
        <f t="shared" si="33"/>
        <v>1067100.1647020529</v>
      </c>
      <c r="J516" s="13">
        <f t="shared" si="34"/>
        <v>-0.21295244145161007</v>
      </c>
    </row>
    <row r="517" spans="1:10" x14ac:dyDescent="0.25">
      <c r="A517" s="6">
        <v>45205</v>
      </c>
      <c r="B517">
        <f>(Prices!B743/Prices!B742)-1</f>
        <v>-1.8197828001173977E-2</v>
      </c>
      <c r="C517">
        <f>(Prices!C743/Prices!C742)-1</f>
        <v>-2.4142352315726812E-2</v>
      </c>
      <c r="D517">
        <f>(Prices!D743/Prices!D742)-1</f>
        <v>1.6991041087426773E-2</v>
      </c>
      <c r="E517">
        <f>(Prices!E743/Prices!E742)-1</f>
        <v>-1.5200233849751665E-2</v>
      </c>
      <c r="F517">
        <f>(Prices!F743/Prices!F742)-1</f>
        <v>-1.6354192029867765E-2</v>
      </c>
      <c r="G517">
        <f t="shared" si="32"/>
        <v>-1.1380713021818692E-2</v>
      </c>
      <c r="H517" s="8">
        <f t="shared" si="35"/>
        <v>830300.38988478016</v>
      </c>
      <c r="I517" s="8">
        <f t="shared" si="33"/>
        <v>1067100.1647020529</v>
      </c>
      <c r="J517" s="13">
        <f t="shared" si="34"/>
        <v>-0.22190960384997233</v>
      </c>
    </row>
    <row r="518" spans="1:10" x14ac:dyDescent="0.25">
      <c r="A518" s="5">
        <v>45208</v>
      </c>
      <c r="B518">
        <f>(Prices!B742/Prices!B741)-1</f>
        <v>-6.1260210035005702E-3</v>
      </c>
      <c r="C518">
        <f>(Prices!C742/Prices!C741)-1</f>
        <v>-7.7574704440376285E-3</v>
      </c>
      <c r="D518">
        <f>(Prices!D742/Prices!D741)-1</f>
        <v>-3.382747985275103E-2</v>
      </c>
      <c r="E518">
        <f>(Prices!E742/Prices!E741)-1</f>
        <v>2.3439789041899139E-3</v>
      </c>
      <c r="F518">
        <f>(Prices!F742/Prices!F741)-1</f>
        <v>-3.2359841436777614E-3</v>
      </c>
      <c r="G518">
        <f t="shared" si="32"/>
        <v>-9.7205953079554167E-3</v>
      </c>
      <c r="H518" s="8">
        <f t="shared" si="35"/>
        <v>822229.37581067265</v>
      </c>
      <c r="I518" s="8">
        <f t="shared" si="33"/>
        <v>1067100.1647020529</v>
      </c>
      <c r="J518" s="13">
        <f t="shared" si="34"/>
        <v>-0.22947310570395343</v>
      </c>
    </row>
    <row r="519" spans="1:10" x14ac:dyDescent="0.25">
      <c r="A519" s="6">
        <v>45209</v>
      </c>
      <c r="B519">
        <f>(Prices!B741/Prices!B740)-1</f>
        <v>2.6323486399533191E-3</v>
      </c>
      <c r="C519">
        <f>(Prices!C741/Prices!C740)-1</f>
        <v>4.363137719325616E-3</v>
      </c>
      <c r="D519">
        <f>(Prices!D741/Prices!D740)-1</f>
        <v>4.2965627498001702E-3</v>
      </c>
      <c r="E519">
        <f>(Prices!E741/Prices!E740)-1</f>
        <v>-6.0429559519474818E-3</v>
      </c>
      <c r="F519">
        <f>(Prices!F741/Prices!F740)-1</f>
        <v>4.3265422193332626E-3</v>
      </c>
      <c r="G519">
        <f t="shared" si="32"/>
        <v>1.9151270752929776E-3</v>
      </c>
      <c r="H519" s="8">
        <f t="shared" si="35"/>
        <v>823804.04955038894</v>
      </c>
      <c r="I519" s="8">
        <f t="shared" si="33"/>
        <v>1067100.1647020529</v>
      </c>
      <c r="J519" s="13">
        <f t="shared" si="34"/>
        <v>-0.22799744878644562</v>
      </c>
    </row>
    <row r="520" spans="1:10" x14ac:dyDescent="0.25">
      <c r="A520" s="5">
        <v>45210</v>
      </c>
      <c r="B520">
        <f>(Prices!B740/Prices!B739)-1</f>
        <v>-1.7740429505135435E-2</v>
      </c>
      <c r="C520">
        <f>(Prices!C740/Prices!C739)-1</f>
        <v>-1.2130168406145114E-2</v>
      </c>
      <c r="D520">
        <f>(Prices!D740/Prices!D739)-1</f>
        <v>3.7098445595854956E-2</v>
      </c>
      <c r="E520">
        <f>(Prices!E740/Prices!E739)-1</f>
        <v>-3.4825509685846301E-3</v>
      </c>
      <c r="F520">
        <f>(Prices!F740/Prices!F739)-1</f>
        <v>2.2348638764735362E-4</v>
      </c>
      <c r="G520">
        <f t="shared" si="32"/>
        <v>7.9375662072742601E-4</v>
      </c>
      <c r="H520" s="8">
        <f t="shared" si="35"/>
        <v>824457.94946890161</v>
      </c>
      <c r="I520" s="8">
        <f t="shared" si="33"/>
        <v>1067100.1647020529</v>
      </c>
      <c r="J520" s="13">
        <f t="shared" si="34"/>
        <v>-0.22738466665020141</v>
      </c>
    </row>
    <row r="521" spans="1:10" x14ac:dyDescent="0.25">
      <c r="A521" s="6">
        <v>45211</v>
      </c>
      <c r="B521">
        <f>(Prices!B739/Prices!B738)-1</f>
        <v>1.1404910649426059E-2</v>
      </c>
      <c r="C521">
        <f>(Prices!C739/Prices!C738)-1</f>
        <v>3.8012238086408967E-3</v>
      </c>
      <c r="D521">
        <f>(Prices!D739/Prices!D738)-1</f>
        <v>2.0729684908782353E-4</v>
      </c>
      <c r="E521">
        <f>(Prices!E739/Prices!E738)-1</f>
        <v>2.4000000000001798E-3</v>
      </c>
      <c r="F521">
        <f>(Prices!F739/Prices!F738)-1</f>
        <v>-2.6948716390087224E-3</v>
      </c>
      <c r="G521">
        <f t="shared" si="32"/>
        <v>3.0237119336292478E-3</v>
      </c>
      <c r="H521" s="8">
        <f t="shared" si="35"/>
        <v>826950.87280948611</v>
      </c>
      <c r="I521" s="8">
        <f t="shared" si="33"/>
        <v>1067100.1647020529</v>
      </c>
      <c r="J521" s="13">
        <f t="shared" si="34"/>
        <v>-0.22504850044664679</v>
      </c>
    </row>
    <row r="522" spans="1:10" x14ac:dyDescent="0.25">
      <c r="A522" s="5">
        <v>45212</v>
      </c>
      <c r="B522">
        <f>(Prices!B738/Prices!B737)-1</f>
        <v>1.1685162048945319E-2</v>
      </c>
      <c r="C522">
        <f>(Prices!C738/Prices!C737)-1</f>
        <v>1.0461230990225667E-2</v>
      </c>
      <c r="D522">
        <f>(Prices!D738/Prices!D737)-1</f>
        <v>-3.0936118923262312E-2</v>
      </c>
      <c r="E522">
        <f>(Prices!E738/Prices!E737)-1</f>
        <v>-1.4831267464354703E-2</v>
      </c>
      <c r="F522">
        <f>(Prices!F738/Prices!F737)-1</f>
        <v>-2.5684052592095497E-2</v>
      </c>
      <c r="G522">
        <f t="shared" si="32"/>
        <v>-9.8610091881083054E-3</v>
      </c>
      <c r="H522" s="8">
        <f t="shared" si="35"/>
        <v>818796.30265459756</v>
      </c>
      <c r="I522" s="8">
        <f t="shared" si="33"/>
        <v>1067100.1647020529</v>
      </c>
      <c r="J522" s="13">
        <f t="shared" si="34"/>
        <v>-0.23269030430408075</v>
      </c>
    </row>
    <row r="523" spans="1:10" x14ac:dyDescent="0.25">
      <c r="A523" s="6">
        <v>45215</v>
      </c>
      <c r="B523">
        <f>(Prices!B737/Prices!B736)-1</f>
        <v>-1.2482763625807358E-2</v>
      </c>
      <c r="C523">
        <f>(Prices!C737/Prices!C736)-1</f>
        <v>-1.4767867581453875E-2</v>
      </c>
      <c r="D523">
        <f>(Prices!D737/Prices!D736)-1</f>
        <v>-7.0259961858876174E-4</v>
      </c>
      <c r="E523">
        <f>(Prices!E737/Prices!E736)-1</f>
        <v>1.0040880728681145E-3</v>
      </c>
      <c r="F523">
        <f>(Prices!F737/Prices!F736)-1</f>
        <v>2.5333491667656194E-3</v>
      </c>
      <c r="G523">
        <f t="shared" si="32"/>
        <v>-4.8831587172432521E-3</v>
      </c>
      <c r="H523" s="8">
        <f t="shared" si="35"/>
        <v>814797.9903516433</v>
      </c>
      <c r="I523" s="8">
        <f t="shared" si="33"/>
        <v>1067100.1647020529</v>
      </c>
      <c r="J523" s="13">
        <f t="shared" si="34"/>
        <v>-0.23643719933344348</v>
      </c>
    </row>
    <row r="524" spans="1:10" x14ac:dyDescent="0.25">
      <c r="A524" s="5">
        <v>45216</v>
      </c>
      <c r="B524">
        <f>(Prices!B736/Prices!B735)-1</f>
        <v>-4.4075144508671782E-3</v>
      </c>
      <c r="C524">
        <f>(Prices!C736/Prices!C735)-1</f>
        <v>1.756765086605494E-3</v>
      </c>
      <c r="D524">
        <f>(Prices!D736/Prices!D735)-1</f>
        <v>-1.2978006736675263E-2</v>
      </c>
      <c r="E524">
        <f>(Prices!E736/Prices!E735)-1</f>
        <v>2.1562567383024422E-3</v>
      </c>
      <c r="F524">
        <f>(Prices!F736/Prices!F735)-1</f>
        <v>2.5795698071275908E-3</v>
      </c>
      <c r="G524">
        <f t="shared" si="32"/>
        <v>-2.178585911101383E-3</v>
      </c>
      <c r="H524" s="8">
        <f t="shared" si="35"/>
        <v>813022.88292946946</v>
      </c>
      <c r="I524" s="8">
        <f t="shared" si="33"/>
        <v>1067100.1647020529</v>
      </c>
      <c r="J524" s="13">
        <f t="shared" si="34"/>
        <v>-0.23810068649321678</v>
      </c>
    </row>
    <row r="525" spans="1:10" x14ac:dyDescent="0.25">
      <c r="A525" s="6">
        <v>45217</v>
      </c>
      <c r="B525">
        <f>(Prices!B735/Prices!B734)-1</f>
        <v>1.2732328406263704E-2</v>
      </c>
      <c r="C525">
        <f>(Prices!C735/Prices!C734)-1</f>
        <v>5.8903769841269771E-3</v>
      </c>
      <c r="D525">
        <f>(Prices!D735/Prices!D734)-1</f>
        <v>-1.3776257938446501E-2</v>
      </c>
      <c r="E525">
        <f>(Prices!E735/Prices!E734)-1</f>
        <v>1.1119186046511631E-2</v>
      </c>
      <c r="F525">
        <f>(Prices!F735/Prices!F734)-1</f>
        <v>1.0925488170674402E-3</v>
      </c>
      <c r="G525">
        <f t="shared" si="32"/>
        <v>3.4116364631046506E-3</v>
      </c>
      <c r="H525" s="8">
        <f t="shared" si="35"/>
        <v>815796.62144221016</v>
      </c>
      <c r="I525" s="8">
        <f t="shared" si="33"/>
        <v>1067100.1647020529</v>
      </c>
      <c r="J525" s="13">
        <f t="shared" si="34"/>
        <v>-0.23550136301404256</v>
      </c>
    </row>
    <row r="526" spans="1:10" x14ac:dyDescent="0.25">
      <c r="A526" s="5">
        <v>45218</v>
      </c>
      <c r="B526">
        <f>(Prices!B734/Prices!B733)-1</f>
        <v>1.5390252839868612E-3</v>
      </c>
      <c r="C526">
        <f>(Prices!C734/Prices!C733)-1</f>
        <v>-3.6449002285785514E-3</v>
      </c>
      <c r="D526">
        <f>(Prices!D734/Prices!D733)-1</f>
        <v>-5.8588028512840395E-4</v>
      </c>
      <c r="E526">
        <f>(Prices!E734/Prices!E733)-1</f>
        <v>4.3062550178818437E-3</v>
      </c>
      <c r="F526">
        <f>(Prices!F734/Prices!F733)-1</f>
        <v>8.3324987481221413E-3</v>
      </c>
      <c r="G526">
        <f t="shared" si="32"/>
        <v>1.9893997072567785E-3</v>
      </c>
      <c r="H526" s="8">
        <f t="shared" si="35"/>
        <v>817419.56700208841</v>
      </c>
      <c r="I526" s="8">
        <f t="shared" si="33"/>
        <v>1067100.1647020529</v>
      </c>
      <c r="J526" s="13">
        <f t="shared" si="34"/>
        <v>-0.23398046964942446</v>
      </c>
    </row>
    <row r="527" spans="1:10" x14ac:dyDescent="0.25">
      <c r="A527" s="6">
        <v>45219</v>
      </c>
      <c r="B527">
        <f>(Prices!B733/Prices!B732)-1</f>
        <v>1.5857653365098257E-2</v>
      </c>
      <c r="C527">
        <f>(Prices!C733/Prices!C732)-1</f>
        <v>1.4254832544879248E-2</v>
      </c>
      <c r="D527">
        <f>(Prices!D733/Prices!D732)-1</f>
        <v>1.7385257301808066E-2</v>
      </c>
      <c r="E527">
        <f>(Prices!E733/Prices!E732)-1</f>
        <v>1.6319264149543766E-2</v>
      </c>
      <c r="F527">
        <f>(Prices!F733/Prices!F732)-1</f>
        <v>8.7285070616045513E-3</v>
      </c>
      <c r="G527">
        <f t="shared" si="32"/>
        <v>1.450910288458678E-2</v>
      </c>
      <c r="H527" s="8">
        <f t="shared" si="35"/>
        <v>829279.59159959608</v>
      </c>
      <c r="I527" s="8">
        <f t="shared" si="33"/>
        <v>1067100.1647020529</v>
      </c>
      <c r="J527" s="13">
        <f t="shared" si="34"/>
        <v>-0.22286621347196511</v>
      </c>
    </row>
    <row r="528" spans="1:10" x14ac:dyDescent="0.25">
      <c r="A528" s="5">
        <v>45222</v>
      </c>
      <c r="B528">
        <f>(Prices!B732/Prices!B731)-1</f>
        <v>-6.5823533762296993E-3</v>
      </c>
      <c r="C528">
        <f>(Prices!C732/Prices!C731)-1</f>
        <v>-8.0489775623096005E-3</v>
      </c>
      <c r="D528">
        <f>(Prices!D732/Prices!D731)-1</f>
        <v>1.4922363379713532E-2</v>
      </c>
      <c r="E528">
        <f>(Prices!E732/Prices!E731)-1</f>
        <v>1.3837707753628692E-2</v>
      </c>
      <c r="F528">
        <f>(Prices!F732/Prices!F731)-1</f>
        <v>1.047366271947725E-2</v>
      </c>
      <c r="G528">
        <f t="shared" si="32"/>
        <v>4.9204805828560357E-3</v>
      </c>
      <c r="H528" s="8">
        <f t="shared" si="35"/>
        <v>833360.0457278206</v>
      </c>
      <c r="I528" s="8">
        <f t="shared" si="33"/>
        <v>1067100.1647020529</v>
      </c>
      <c r="J528" s="13">
        <f t="shared" si="34"/>
        <v>-0.21904234176507262</v>
      </c>
    </row>
    <row r="529" spans="1:10" x14ac:dyDescent="0.25">
      <c r="A529" s="6">
        <v>45223</v>
      </c>
      <c r="B529">
        <f>(Prices!B731/Prices!B730)-1</f>
        <v>-1.6654545454545366E-2</v>
      </c>
      <c r="C529">
        <f>(Prices!C731/Prices!C730)-1</f>
        <v>-3.684552744837144E-3</v>
      </c>
      <c r="D529">
        <f>(Prices!D731/Prices!D730)-1</f>
        <v>9.7739767868052496E-3</v>
      </c>
      <c r="E529">
        <f>(Prices!E731/Prices!E730)-1</f>
        <v>-1.201832795012403E-3</v>
      </c>
      <c r="F529">
        <f>(Prices!F731/Prices!F730)-1</f>
        <v>-6.5311752058739847E-3</v>
      </c>
      <c r="G529">
        <f t="shared" si="32"/>
        <v>-3.6596258826927302E-3</v>
      </c>
      <c r="H529" s="8">
        <f t="shared" si="35"/>
        <v>830310.25973487308</v>
      </c>
      <c r="I529" s="8">
        <f t="shared" si="33"/>
        <v>1067100.1647020529</v>
      </c>
      <c r="J529" s="13">
        <f t="shared" si="34"/>
        <v>-0.22190035462443625</v>
      </c>
    </row>
    <row r="530" spans="1:10" x14ac:dyDescent="0.25">
      <c r="A530" s="5">
        <v>45224</v>
      </c>
      <c r="B530">
        <f>(Prices!B730/Prices!B729)-1</f>
        <v>0.10503897773848747</v>
      </c>
      <c r="C530">
        <f>(Prices!C730/Prices!C729)-1</f>
        <v>-2.9741340463243837E-2</v>
      </c>
      <c r="D530">
        <f>(Prices!D730/Prices!D729)-1</f>
        <v>-1.8292682926830395E-3</v>
      </c>
      <c r="E530">
        <f>(Prices!E730/Prices!E729)-1</f>
        <v>5.5135951661631211E-3</v>
      </c>
      <c r="F530">
        <f>(Prices!F730/Prices!F729)-1</f>
        <v>-9.8210519973489507E-3</v>
      </c>
      <c r="G530">
        <f t="shared" si="32"/>
        <v>1.3832182430274955E-2</v>
      </c>
      <c r="H530" s="8">
        <f t="shared" si="35"/>
        <v>841795.26272125484</v>
      </c>
      <c r="I530" s="8">
        <f t="shared" si="33"/>
        <v>1067100.1647020529</v>
      </c>
      <c r="J530" s="13">
        <f t="shared" si="34"/>
        <v>-0.21113753838066918</v>
      </c>
    </row>
    <row r="531" spans="1:10" x14ac:dyDescent="0.25">
      <c r="A531" s="6">
        <v>45225</v>
      </c>
      <c r="B531">
        <f>(Prices!B729/Prices!B728)-1</f>
        <v>2.7243457442417407E-2</v>
      </c>
      <c r="C531">
        <f>(Prices!C729/Prices!C728)-1</f>
        <v>3.8952526608196258E-2</v>
      </c>
      <c r="D531">
        <f>(Prices!D729/Prices!D728)-1</f>
        <v>9.2307692307693756E-3</v>
      </c>
      <c r="E531">
        <f>(Prices!E729/Prices!E728)-1</f>
        <v>-2.5613982220883402E-3</v>
      </c>
      <c r="F531">
        <f>(Prices!F729/Prices!F728)-1</f>
        <v>3.4866379136604397E-3</v>
      </c>
      <c r="G531">
        <f t="shared" si="32"/>
        <v>1.527039859459103E-2</v>
      </c>
      <c r="H531" s="8">
        <f t="shared" si="35"/>
        <v>854649.81191804691</v>
      </c>
      <c r="I531" s="8">
        <f t="shared" si="33"/>
        <v>1067100.1647020529</v>
      </c>
      <c r="J531" s="13">
        <f t="shared" si="34"/>
        <v>-0.1990912941554317</v>
      </c>
    </row>
    <row r="532" spans="1:10" x14ac:dyDescent="0.25">
      <c r="A532" s="5">
        <v>45226</v>
      </c>
      <c r="B532">
        <f>(Prices!B728/Prices!B727)-1</f>
        <v>9.0894067096347619E-4</v>
      </c>
      <c r="C532">
        <f>(Prices!C728/Prices!C727)-1</f>
        <v>-5.8027679513436015E-3</v>
      </c>
      <c r="D532">
        <f>(Prices!D728/Prices!D727)-1</f>
        <v>1.9447929736511993E-2</v>
      </c>
      <c r="E532">
        <f>(Prices!E728/Prices!E727)-1</f>
        <v>3.7355423569865653E-2</v>
      </c>
      <c r="F532">
        <f>(Prices!F728/Prices!F727)-1</f>
        <v>7.0631215749950016E-3</v>
      </c>
      <c r="G532">
        <f t="shared" si="32"/>
        <v>1.1794529520198506E-2</v>
      </c>
      <c r="H532" s="8">
        <f t="shared" si="35"/>
        <v>864730.00435414631</v>
      </c>
      <c r="I532" s="8">
        <f t="shared" si="33"/>
        <v>1067100.1647020529</v>
      </c>
      <c r="J532" s="13">
        <f t="shared" si="34"/>
        <v>-0.18964495278136406</v>
      </c>
    </row>
    <row r="533" spans="1:10" x14ac:dyDescent="0.25">
      <c r="A533" s="6">
        <v>45229</v>
      </c>
      <c r="B533">
        <f>(Prices!B727/Prices!B726)-1</f>
        <v>-1.841187444237169E-2</v>
      </c>
      <c r="C533">
        <f>(Prices!C727/Prices!C726)-1</f>
        <v>-2.2239752419672909E-2</v>
      </c>
      <c r="D533">
        <f>(Prices!D727/Prices!D726)-1</f>
        <v>-3.1269543464664817E-3</v>
      </c>
      <c r="E533">
        <f>(Prices!E727/Prices!E726)-1</f>
        <v>-1.2578131028628814E-2</v>
      </c>
      <c r="F533">
        <f>(Prices!F727/Prices!F726)-1</f>
        <v>-1.0066102750597716E-2</v>
      </c>
      <c r="G533">
        <f t="shared" si="32"/>
        <v>-1.3284562997547524E-2</v>
      </c>
      <c r="H533" s="8">
        <f t="shared" si="35"/>
        <v>853242.44413543411</v>
      </c>
      <c r="I533" s="8">
        <f t="shared" si="33"/>
        <v>1067100.1647020529</v>
      </c>
      <c r="J533" s="13">
        <f t="shared" si="34"/>
        <v>-0.20041016545652063</v>
      </c>
    </row>
    <row r="534" spans="1:10" x14ac:dyDescent="0.25">
      <c r="A534" s="5">
        <v>45230</v>
      </c>
      <c r="B534">
        <f>(Prices!B726/Prices!B725)-1</f>
        <v>3.0916931087787702E-3</v>
      </c>
      <c r="C534">
        <f>(Prices!C726/Prices!C725)-1</f>
        <v>-2.3609891939341265E-3</v>
      </c>
      <c r="D534">
        <f>(Prices!D726/Prices!D725)-1</f>
        <v>2.085070892410279E-4</v>
      </c>
      <c r="E534">
        <f>(Prices!E726/Prices!E725)-1</f>
        <v>-1.1819429617202837E-2</v>
      </c>
      <c r="F534">
        <f>(Prices!F726/Prices!F725)-1</f>
        <v>-1.0398854734163132E-2</v>
      </c>
      <c r="G534">
        <f t="shared" si="32"/>
        <v>-4.2558146694560602E-3</v>
      </c>
      <c r="H534" s="8">
        <f t="shared" si="35"/>
        <v>849611.20242508</v>
      </c>
      <c r="I534" s="8">
        <f t="shared" si="33"/>
        <v>1067100.1647020529</v>
      </c>
      <c r="J534" s="13">
        <f t="shared" si="34"/>
        <v>-0.20381307160391871</v>
      </c>
    </row>
    <row r="535" spans="1:10" x14ac:dyDescent="0.25">
      <c r="A535" s="6">
        <v>45231</v>
      </c>
      <c r="B535">
        <f>(Prices!B725/Prices!B724)-1</f>
        <v>-1.8760977167491699E-2</v>
      </c>
      <c r="C535">
        <f>(Prices!C725/Prices!C724)-1</f>
        <v>-2.3007541032086243E-2</v>
      </c>
      <c r="D535">
        <f>(Prices!D725/Prices!D724)-1</f>
        <v>1.984748772589473E-3</v>
      </c>
      <c r="E535">
        <f>(Prices!E725/Prices!E724)-1</f>
        <v>8.3950240402952403E-4</v>
      </c>
      <c r="F535">
        <f>(Prices!F725/Prices!F724)-1</f>
        <v>7.4516245342735044E-3</v>
      </c>
      <c r="G535">
        <f t="shared" si="32"/>
        <v>-6.2985284977370871E-3</v>
      </c>
      <c r="H535" s="8">
        <f t="shared" si="35"/>
        <v>844259.90205460903</v>
      </c>
      <c r="I535" s="8">
        <f t="shared" si="33"/>
        <v>1067100.1647020529</v>
      </c>
      <c r="J535" s="13">
        <f t="shared" si="34"/>
        <v>-0.2088278776619471</v>
      </c>
    </row>
    <row r="536" spans="1:10" x14ac:dyDescent="0.25">
      <c r="A536" s="5">
        <v>45232</v>
      </c>
      <c r="B536">
        <f>(Prices!B724/Prices!B723)-1</f>
        <v>-8.1558318156623733E-3</v>
      </c>
      <c r="C536">
        <f>(Prices!C724/Prices!C723)-1</f>
        <v>-6.4639341853974797E-3</v>
      </c>
      <c r="D536">
        <f>(Prices!D724/Prices!D723)-1</f>
        <v>-3.1758875290785915E-2</v>
      </c>
      <c r="E536">
        <f>(Prices!E724/Prices!E723)-1</f>
        <v>-1.7471505698860357E-2</v>
      </c>
      <c r="F536">
        <f>(Prices!F724/Prices!F723)-1</f>
        <v>-8.4414165690110954E-3</v>
      </c>
      <c r="G536">
        <f t="shared" si="32"/>
        <v>-1.4458312711943446E-2</v>
      </c>
      <c r="H536" s="8">
        <f t="shared" si="35"/>
        <v>832053.32838054874</v>
      </c>
      <c r="I536" s="8">
        <f t="shared" si="33"/>
        <v>1067100.1647020529</v>
      </c>
      <c r="J536" s="13">
        <f t="shared" si="34"/>
        <v>-0.22026689161568266</v>
      </c>
    </row>
    <row r="537" spans="1:10" x14ac:dyDescent="0.25">
      <c r="A537" s="6">
        <v>45233</v>
      </c>
      <c r="B537">
        <f>(Prices!B723/Prices!B722)-1</f>
        <v>-1.2433531435720901E-2</v>
      </c>
      <c r="C537">
        <f>(Prices!C723/Prices!C722)-1</f>
        <v>-1.270559568357843E-2</v>
      </c>
      <c r="D537">
        <f>(Prices!D723/Prices!D722)-1</f>
        <v>1.2389924226909876E-2</v>
      </c>
      <c r="E537">
        <f>(Prices!E723/Prices!E722)-1</f>
        <v>-1.1049314052650971E-2</v>
      </c>
      <c r="F537">
        <f>(Prices!F723/Prices!F722)-1</f>
        <v>9.8483632862644832E-3</v>
      </c>
      <c r="G537">
        <f t="shared" si="32"/>
        <v>-2.7900307317551901E-3</v>
      </c>
      <c r="H537" s="8">
        <f t="shared" si="35"/>
        <v>829731.87402390782</v>
      </c>
      <c r="I537" s="8">
        <f t="shared" si="33"/>
        <v>1067100.1647020529</v>
      </c>
      <c r="J537" s="13">
        <f t="shared" si="34"/>
        <v>-0.2224423709506419</v>
      </c>
    </row>
    <row r="538" spans="1:10" x14ac:dyDescent="0.25">
      <c r="A538" s="5">
        <v>45236</v>
      </c>
      <c r="B538">
        <f>(Prices!B722/Prices!B721)-1</f>
        <v>-8.8358394047435285E-3</v>
      </c>
      <c r="C538">
        <f>(Prices!C722/Prices!C721)-1</f>
        <v>-1.0448660906507423E-2</v>
      </c>
      <c r="D538">
        <f>(Prices!D722/Prices!D721)-1</f>
        <v>1.8033983112686336E-2</v>
      </c>
      <c r="E538">
        <f>(Prices!E722/Prices!E721)-1</f>
        <v>-7.5071759770369839E-3</v>
      </c>
      <c r="F538">
        <f>(Prices!F722/Prices!F721)-1</f>
        <v>-4.8106673054275628E-3</v>
      </c>
      <c r="G538">
        <f t="shared" si="32"/>
        <v>-2.7136720962058327E-3</v>
      </c>
      <c r="H538" s="8">
        <f t="shared" si="35"/>
        <v>827480.25379003654</v>
      </c>
      <c r="I538" s="8">
        <f t="shared" si="33"/>
        <v>1067100.1647020529</v>
      </c>
      <c r="J538" s="13">
        <f t="shared" si="34"/>
        <v>-0.22455240739178514</v>
      </c>
    </row>
    <row r="539" spans="1:10" x14ac:dyDescent="0.25">
      <c r="A539" s="6">
        <v>45237</v>
      </c>
      <c r="B539">
        <f>(Prices!B721/Prices!B720)-1</f>
        <v>-5.549560659781072E-3</v>
      </c>
      <c r="C539">
        <f>(Prices!C721/Prices!C720)-1</f>
        <v>-1.1099125695469447E-2</v>
      </c>
      <c r="D539">
        <f>(Prices!D721/Prices!D720)-1</f>
        <v>1.5884782378481344E-2</v>
      </c>
      <c r="E539">
        <f>(Prices!E721/Prices!E720)-1</f>
        <v>4.4179368235042205E-4</v>
      </c>
      <c r="F539">
        <f>(Prices!F721/Prices!F720)-1</f>
        <v>-8.1176866572949535E-3</v>
      </c>
      <c r="G539">
        <f t="shared" si="32"/>
        <v>-1.6879593903427418E-3</v>
      </c>
      <c r="H539" s="8">
        <f t="shared" si="35"/>
        <v>826083.50072532846</v>
      </c>
      <c r="I539" s="8">
        <f t="shared" si="33"/>
        <v>1067100.1647020529</v>
      </c>
      <c r="J539" s="13">
        <f t="shared" si="34"/>
        <v>-0.22586133143744683</v>
      </c>
    </row>
    <row r="540" spans="1:10" x14ac:dyDescent="0.25">
      <c r="A540" s="5">
        <v>45238</v>
      </c>
      <c r="B540">
        <f>(Prices!B720/Prices!B719)-1</f>
        <v>-6.5849923430320034E-3</v>
      </c>
      <c r="C540">
        <f>(Prices!C720/Prices!C719)-1</f>
        <v>-7.3543915015921169E-3</v>
      </c>
      <c r="D540">
        <f>(Prices!D720/Prices!D719)-1</f>
        <v>1.2437010828776796E-2</v>
      </c>
      <c r="E540">
        <f>(Prices!E720/Prices!E719)-1</f>
        <v>-4.9091441969518756E-3</v>
      </c>
      <c r="F540">
        <f>(Prices!F720/Prices!F719)-1</f>
        <v>2.0434886120148654E-3</v>
      </c>
      <c r="G540">
        <f t="shared" si="32"/>
        <v>-8.7360572015686725E-4</v>
      </c>
      <c r="H540" s="8">
        <f t="shared" si="35"/>
        <v>825361.82945376763</v>
      </c>
      <c r="I540" s="8">
        <f t="shared" si="33"/>
        <v>1067100.1647020529</v>
      </c>
      <c r="J540" s="13">
        <f t="shared" si="34"/>
        <v>-0.22653762340649769</v>
      </c>
    </row>
    <row r="541" spans="1:10" x14ac:dyDescent="0.25">
      <c r="A541" s="6">
        <v>45239</v>
      </c>
      <c r="B541">
        <f>(Prices!B719/Prices!B718)-1</f>
        <v>1.2324625997984784E-2</v>
      </c>
      <c r="C541">
        <f>(Prices!C719/Prices!C718)-1</f>
        <v>6.9515378504141356E-3</v>
      </c>
      <c r="D541">
        <f>(Prices!D719/Prices!D718)-1</f>
        <v>-3.215434083601032E-4</v>
      </c>
      <c r="E541">
        <f>(Prices!E719/Prices!E718)-1</f>
        <v>3.0131549937530977E-3</v>
      </c>
      <c r="F541">
        <f>(Prices!F719/Prices!F718)-1</f>
        <v>-4.2080723867474745E-3</v>
      </c>
      <c r="G541">
        <f t="shared" si="32"/>
        <v>3.5519406094088879E-3</v>
      </c>
      <c r="H541" s="8">
        <f t="shared" si="35"/>
        <v>828293.46565326047</v>
      </c>
      <c r="I541" s="8">
        <f t="shared" si="33"/>
        <v>1067100.1647020529</v>
      </c>
      <c r="J541" s="13">
        <f t="shared" si="34"/>
        <v>-0.2237903309812253</v>
      </c>
    </row>
    <row r="542" spans="1:10" x14ac:dyDescent="0.25">
      <c r="A542" s="5">
        <v>45240</v>
      </c>
      <c r="B542">
        <f>(Prices!B718/Prices!B717)-1</f>
        <v>-1.7740216232678629E-2</v>
      </c>
      <c r="C542">
        <f>(Prices!C718/Prices!C717)-1</f>
        <v>-2.4279504997093082E-2</v>
      </c>
      <c r="D542">
        <f>(Prices!D718/Prices!D717)-1</f>
        <v>-7.5523880438251867E-3</v>
      </c>
      <c r="E542">
        <f>(Prices!E718/Prices!E717)-1</f>
        <v>-1.4628141067419831E-2</v>
      </c>
      <c r="F542">
        <f>(Prices!F718/Prices!F717)-1</f>
        <v>-4.0728789548244437E-3</v>
      </c>
      <c r="G542">
        <f t="shared" si="32"/>
        <v>-1.3654625859168237E-2</v>
      </c>
      <c r="H542" s="8">
        <f t="shared" si="35"/>
        <v>816983.42827817146</v>
      </c>
      <c r="I542" s="8">
        <f t="shared" si="33"/>
        <v>1067100.1647020529</v>
      </c>
      <c r="J542" s="13">
        <f t="shared" si="34"/>
        <v>-0.23438918359994543</v>
      </c>
    </row>
    <row r="543" spans="1:10" x14ac:dyDescent="0.25">
      <c r="A543" s="6">
        <v>45243</v>
      </c>
      <c r="B543">
        <f>(Prices!B717/Prices!B716)-1</f>
        <v>3.8214613268112707E-3</v>
      </c>
      <c r="C543">
        <f>(Prices!C717/Prices!C716)-1</f>
        <v>8.1498227692649028E-3</v>
      </c>
      <c r="D543">
        <f>(Prices!D717/Prices!D716)-1</f>
        <v>-1.0421052631578887E-2</v>
      </c>
      <c r="E543">
        <f>(Prices!E717/Prices!E716)-1</f>
        <v>4.4370090194938427E-3</v>
      </c>
      <c r="F543">
        <f>(Prices!F717/Prices!F716)-1</f>
        <v>-2.512168315277119E-3</v>
      </c>
      <c r="G543">
        <f t="shared" si="32"/>
        <v>6.9501443374280208E-4</v>
      </c>
      <c r="H543" s="8">
        <f t="shared" si="35"/>
        <v>817551.24355295347</v>
      </c>
      <c r="I543" s="8">
        <f t="shared" si="33"/>
        <v>1067100.1647020529</v>
      </c>
      <c r="J543" s="13">
        <f t="shared" si="34"/>
        <v>-0.23385707303191777</v>
      </c>
    </row>
    <row r="544" spans="1:10" x14ac:dyDescent="0.25">
      <c r="A544" s="5">
        <v>45244</v>
      </c>
      <c r="B544">
        <f>(Prices!B716/Prices!B715)-1</f>
        <v>-1.1483831973405967E-2</v>
      </c>
      <c r="C544">
        <f>(Prices!C716/Prices!C715)-1</f>
        <v>-9.7014925373134497E-3</v>
      </c>
      <c r="D544">
        <f>(Prices!D716/Prices!D715)-1</f>
        <v>-3.8796267169970422E-3</v>
      </c>
      <c r="E544">
        <f>(Prices!E716/Prices!E715)-1</f>
        <v>-1.7859694242034596E-2</v>
      </c>
      <c r="F544">
        <f>(Prices!F716/Prices!F715)-1</f>
        <v>3.9011703511051543E-3</v>
      </c>
      <c r="G544">
        <f t="shared" si="32"/>
        <v>-7.8046950237291813E-3</v>
      </c>
      <c r="H544" s="8">
        <f t="shared" si="35"/>
        <v>811170.50543075218</v>
      </c>
      <c r="I544" s="8">
        <f t="shared" si="33"/>
        <v>1067100.1647020529</v>
      </c>
      <c r="J544" s="13">
        <f t="shared" si="34"/>
        <v>-0.23983658492149082</v>
      </c>
    </row>
    <row r="545" spans="1:10" x14ac:dyDescent="0.25">
      <c r="A545" s="6">
        <v>45245</v>
      </c>
      <c r="B545">
        <f>(Prices!B715/Prices!B714)-1</f>
        <v>-7.4240719910010355E-3</v>
      </c>
      <c r="C545">
        <f>(Prices!C715/Prices!C714)-1</f>
        <v>-3.8680444272531922E-4</v>
      </c>
      <c r="D545">
        <f>(Prices!D715/Prices!D714)-1</f>
        <v>6.1187889017828567E-3</v>
      </c>
      <c r="E545">
        <f>(Prices!E715/Prices!E714)-1</f>
        <v>-8.7104312725728716E-3</v>
      </c>
      <c r="F545">
        <f>(Prices!F715/Prices!F714)-1</f>
        <v>3.8171713375922955E-3</v>
      </c>
      <c r="G545">
        <f t="shared" si="32"/>
        <v>-1.3170694933848149E-3</v>
      </c>
      <c r="H545" s="8">
        <f t="shared" si="35"/>
        <v>810102.13750411582</v>
      </c>
      <c r="I545" s="8">
        <f t="shared" si="33"/>
        <v>1067100.1647020529</v>
      </c>
      <c r="J545" s="13">
        <f t="shared" si="34"/>
        <v>-0.24083777296547793</v>
      </c>
    </row>
    <row r="546" spans="1:10" x14ac:dyDescent="0.25">
      <c r="A546" s="5">
        <v>45246</v>
      </c>
      <c r="B546">
        <f>(Prices!B714/Prices!B713)-1</f>
        <v>-1.68829253907401E-2</v>
      </c>
      <c r="C546">
        <f>(Prices!C714/Prices!C713)-1</f>
        <v>-1.7295213271429022E-2</v>
      </c>
      <c r="D546">
        <f>(Prices!D714/Prices!D713)-1</f>
        <v>1.1740847475717908E-2</v>
      </c>
      <c r="E546">
        <f>(Prices!E714/Prices!E713)-1</f>
        <v>-1.1272930962050065E-2</v>
      </c>
      <c r="F546">
        <f>(Prices!F714/Prices!F713)-1</f>
        <v>-2.6235846451255762E-3</v>
      </c>
      <c r="G546">
        <f t="shared" si="32"/>
        <v>-7.2667613587253706E-3</v>
      </c>
      <c r="H546" s="8">
        <f t="shared" si="35"/>
        <v>804215.31859468005</v>
      </c>
      <c r="I546" s="8">
        <f t="shared" si="33"/>
        <v>1067100.1647020529</v>
      </c>
      <c r="J546" s="13">
        <f t="shared" si="34"/>
        <v>-0.24635442370189631</v>
      </c>
    </row>
    <row r="547" spans="1:10" x14ac:dyDescent="0.25">
      <c r="A547" s="6">
        <v>45247</v>
      </c>
      <c r="B547">
        <f>(Prices!B713/Prices!B712)-1</f>
        <v>1.2012236066552218E-2</v>
      </c>
      <c r="C547">
        <f>(Prices!C713/Prices!C712)-1</f>
        <v>1.7093781067049507E-2</v>
      </c>
      <c r="D547">
        <f>(Prices!D713/Prices!D712)-1</f>
        <v>-2.3859137320275114E-2</v>
      </c>
      <c r="E547">
        <f>(Prices!E713/Prices!E712)-1</f>
        <v>-9.020260893699783E-3</v>
      </c>
      <c r="F547">
        <f>(Prices!F713/Prices!F712)-1</f>
        <v>6.5922719510742578E-3</v>
      </c>
      <c r="G547">
        <f t="shared" si="32"/>
        <v>5.6377817414021746E-4</v>
      </c>
      <c r="H547" s="8">
        <f t="shared" si="35"/>
        <v>804668.71763861307</v>
      </c>
      <c r="I547" s="8">
        <f t="shared" si="33"/>
        <v>1067100.1647020529</v>
      </c>
      <c r="J547" s="13">
        <f t="shared" si="34"/>
        <v>-0.245929534774942</v>
      </c>
    </row>
    <row r="548" spans="1:10" x14ac:dyDescent="0.25">
      <c r="A548" s="5">
        <v>45250</v>
      </c>
      <c r="B548">
        <f>(Prices!B712/Prices!B711)-1</f>
        <v>-6.9645106319923267E-3</v>
      </c>
      <c r="C548">
        <f>(Prices!C712/Prices!C711)-1</f>
        <v>-2.010553375727242E-2</v>
      </c>
      <c r="D548">
        <f>(Prices!D712/Prices!D711)-1</f>
        <v>4.3951444118879301E-3</v>
      </c>
      <c r="E548">
        <f>(Prices!E712/Prices!E711)-1</f>
        <v>-3.0437188710570329E-3</v>
      </c>
      <c r="F548">
        <f>(Prices!F712/Prices!F711)-1</f>
        <v>2.2089112654475329E-3</v>
      </c>
      <c r="G548">
        <f t="shared" si="32"/>
        <v>-4.7019415165972635E-3</v>
      </c>
      <c r="H548" s="8">
        <f t="shared" si="35"/>
        <v>800885.21238804096</v>
      </c>
      <c r="I548" s="8">
        <f t="shared" si="33"/>
        <v>1067100.1647020529</v>
      </c>
      <c r="J548" s="13">
        <f t="shared" si="34"/>
        <v>-0.24947513000182356</v>
      </c>
    </row>
    <row r="549" spans="1:10" x14ac:dyDescent="0.25">
      <c r="A549" s="6">
        <v>45251</v>
      </c>
      <c r="B549">
        <f>(Prices!B711/Prices!B710)-1</f>
        <v>-5.2329009433962348E-3</v>
      </c>
      <c r="C549">
        <f>(Prices!C711/Prices!C710)-1</f>
        <v>1.1717359761272528E-2</v>
      </c>
      <c r="D549">
        <f>(Prices!D711/Prices!D710)-1</f>
        <v>4.1876046901179187E-4</v>
      </c>
      <c r="E549">
        <f>(Prices!E711/Prices!E710)-1</f>
        <v>2.0795785387495158E-3</v>
      </c>
      <c r="F549">
        <f>(Prices!F711/Prices!F710)-1</f>
        <v>-8.3083359646354271E-3</v>
      </c>
      <c r="G549">
        <f t="shared" si="32"/>
        <v>1.3489237220043492E-4</v>
      </c>
      <c r="H549" s="8">
        <f t="shared" si="35"/>
        <v>800993.24569420028</v>
      </c>
      <c r="I549" s="8">
        <f t="shared" si="33"/>
        <v>1067100.1647020529</v>
      </c>
      <c r="J549" s="13">
        <f t="shared" si="34"/>
        <v>-0.24937388992171403</v>
      </c>
    </row>
    <row r="550" spans="1:10" x14ac:dyDescent="0.25">
      <c r="A550" s="5">
        <v>45252</v>
      </c>
      <c r="B550">
        <f>(Prices!B710/Prices!B709)-1</f>
        <v>-1.0934538562472618E-2</v>
      </c>
      <c r="C550">
        <f>(Prices!C710/Prices!C709)-1</f>
        <v>-1.2650358156507613E-2</v>
      </c>
      <c r="D550">
        <f>(Prices!D710/Prices!D709)-1</f>
        <v>4.3107980233414445E-3</v>
      </c>
      <c r="E550">
        <f>(Prices!E710/Prices!E709)-1</f>
        <v>-2.3513139695712226E-3</v>
      </c>
      <c r="F550">
        <f>(Prices!F710/Prices!F709)-1</f>
        <v>-7.6766410778630334E-3</v>
      </c>
      <c r="G550">
        <f t="shared" si="32"/>
        <v>-5.8604107486146086E-3</v>
      </c>
      <c r="H550" s="8">
        <f t="shared" si="35"/>
        <v>796299.0962675662</v>
      </c>
      <c r="I550" s="8">
        <f t="shared" si="33"/>
        <v>1067100.1647020529</v>
      </c>
      <c r="J550" s="13">
        <f t="shared" si="34"/>
        <v>-0.25377286724540765</v>
      </c>
    </row>
    <row r="551" spans="1:10" x14ac:dyDescent="0.25">
      <c r="A551" s="6">
        <v>45254</v>
      </c>
      <c r="B551">
        <f>(Prices!B709/Prices!B708)-1</f>
        <v>1.314623338257026E-2</v>
      </c>
      <c r="C551">
        <f>(Prices!C709/Prices!C708)-1</f>
        <v>1.1094874709096647E-3</v>
      </c>
      <c r="D551">
        <f>(Prices!D709/Prices!D708)-1</f>
        <v>-5.3336122150178245E-3</v>
      </c>
      <c r="E551">
        <f>(Prices!E709/Prices!E708)-1</f>
        <v>-1.3122453208094242E-3</v>
      </c>
      <c r="F551">
        <f>(Prices!F709/Prices!F708)-1</f>
        <v>-6.0922202541993098E-3</v>
      </c>
      <c r="G551">
        <f t="shared" si="32"/>
        <v>3.0352861269067311E-4</v>
      </c>
      <c r="H551" s="8">
        <f t="shared" si="35"/>
        <v>796540.79582754313</v>
      </c>
      <c r="I551" s="8">
        <f t="shared" si="33"/>
        <v>1067100.1647020529</v>
      </c>
      <c r="J551" s="13">
        <f t="shared" si="34"/>
        <v>-0.25354636595905056</v>
      </c>
    </row>
    <row r="552" spans="1:10" x14ac:dyDescent="0.25">
      <c r="A552" s="5">
        <v>45257</v>
      </c>
      <c r="B552">
        <f>(Prices!B708/Prices!B707)-1</f>
        <v>2.072232089994186E-3</v>
      </c>
      <c r="C552">
        <f>(Prices!C708/Prices!C707)-1</f>
        <v>-3.129214998651153E-3</v>
      </c>
      <c r="D552">
        <f>(Prices!D708/Prices!D707)-1</f>
        <v>5.8910162002945299E-3</v>
      </c>
      <c r="E552">
        <f>(Prices!E708/Prices!E707)-1</f>
        <v>2.2843693756056105E-3</v>
      </c>
      <c r="F552">
        <f>(Prices!F708/Prices!F707)-1</f>
        <v>6.4449145901894767E-3</v>
      </c>
      <c r="G552">
        <f t="shared" si="32"/>
        <v>2.7126634514865302E-3</v>
      </c>
      <c r="H552" s="8">
        <f t="shared" si="35"/>
        <v>798701.54293200246</v>
      </c>
      <c r="I552" s="8">
        <f t="shared" si="33"/>
        <v>1067100.1647020529</v>
      </c>
      <c r="J552" s="13">
        <f t="shared" si="34"/>
        <v>-0.2515214884677584</v>
      </c>
    </row>
    <row r="553" spans="1:10" x14ac:dyDescent="0.25">
      <c r="A553" s="6">
        <v>45258</v>
      </c>
      <c r="B553">
        <f>(Prices!B707/Prices!B706)-1</f>
        <v>-5.8126701493634858E-3</v>
      </c>
      <c r="C553">
        <f>(Prices!C707/Prices!C706)-1</f>
        <v>-1.0675206832132411E-2</v>
      </c>
      <c r="D553">
        <f>(Prices!D707/Prices!D706)-1</f>
        <v>5.2626039364267463E-4</v>
      </c>
      <c r="E553">
        <f>(Prices!E707/Prices!E706)-1</f>
        <v>-2.2791629256162516E-3</v>
      </c>
      <c r="F553">
        <f>(Prices!F707/Prices!F706)-1</f>
        <v>5.6737588652482351E-3</v>
      </c>
      <c r="G553">
        <f t="shared" si="32"/>
        <v>-2.5134041296442479E-3</v>
      </c>
      <c r="H553" s="8">
        <f t="shared" si="35"/>
        <v>796694.08317564393</v>
      </c>
      <c r="I553" s="8">
        <f t="shared" si="33"/>
        <v>1067100.1647020529</v>
      </c>
      <c r="J553" s="13">
        <f t="shared" si="34"/>
        <v>-0.25340271744959353</v>
      </c>
    </row>
    <row r="554" spans="1:10" x14ac:dyDescent="0.25">
      <c r="A554" s="5">
        <v>45259</v>
      </c>
      <c r="B554">
        <f>(Prices!B706/Prices!B705)-1</f>
        <v>1.6377505234818956E-2</v>
      </c>
      <c r="C554">
        <f>(Prices!C706/Prices!C705)-1</f>
        <v>1.0163642735826039E-2</v>
      </c>
      <c r="D554">
        <f>(Prices!D706/Prices!D705)-1</f>
        <v>1.5281042957897117E-2</v>
      </c>
      <c r="E554">
        <f>(Prices!E706/Prices!E705)-1</f>
        <v>-5.0848622277194222E-3</v>
      </c>
      <c r="F554">
        <f>(Prices!F706/Prices!F705)-1</f>
        <v>1.0370429347718035E-2</v>
      </c>
      <c r="G554">
        <f t="shared" si="32"/>
        <v>9.4215516097081453E-3</v>
      </c>
      <c r="H554" s="8">
        <f t="shared" si="35"/>
        <v>804200.17759743251</v>
      </c>
      <c r="I554" s="8">
        <f t="shared" si="33"/>
        <v>1067100.1647020529</v>
      </c>
      <c r="J554" s="13">
        <f t="shared" si="34"/>
        <v>-0.24636861262037688</v>
      </c>
    </row>
    <row r="555" spans="1:10" x14ac:dyDescent="0.25">
      <c r="A555" s="6">
        <v>45260</v>
      </c>
      <c r="B555">
        <f>(Prices!B705/Prices!B704)-1</f>
        <v>1.8586227909811015E-2</v>
      </c>
      <c r="C555">
        <f>(Prices!C705/Prices!C704)-1</f>
        <v>-1.6172942666914381E-4</v>
      </c>
      <c r="D555">
        <f>(Prices!D705/Prices!D704)-1</f>
        <v>-3.938265034592936E-3</v>
      </c>
      <c r="E555">
        <f>(Prices!E705/Prices!E704)-1</f>
        <v>-1.1277940077450865E-2</v>
      </c>
      <c r="F555">
        <f>(Prices!F705/Prices!F704)-1</f>
        <v>-3.2544435671782557E-2</v>
      </c>
      <c r="G555">
        <f t="shared" si="32"/>
        <v>-5.8672284601368977E-3</v>
      </c>
      <c r="H555" s="8">
        <f t="shared" si="35"/>
        <v>799481.75142778573</v>
      </c>
      <c r="I555" s="8">
        <f t="shared" si="33"/>
        <v>1067100.1647020529</v>
      </c>
      <c r="J555" s="13">
        <f t="shared" si="34"/>
        <v>-0.25079034014486301</v>
      </c>
    </row>
    <row r="556" spans="1:10" x14ac:dyDescent="0.25">
      <c r="A556" s="5">
        <v>45261</v>
      </c>
      <c r="B556">
        <f>(Prices!B704/Prices!B703)-1</f>
        <v>5.0528249885162246E-3</v>
      </c>
      <c r="C556">
        <f>(Prices!C704/Prices!C703)-1</f>
        <v>1.1754118032071492E-2</v>
      </c>
      <c r="D556">
        <f>(Prices!D704/Prices!D703)-1</f>
        <v>-2.4421320874921104E-3</v>
      </c>
      <c r="E556">
        <f>(Prices!E704/Prices!E703)-1</f>
        <v>-4.8678250287337299E-3</v>
      </c>
      <c r="F556">
        <f>(Prices!F704/Prices!F703)-1</f>
        <v>7.1957795104540256E-3</v>
      </c>
      <c r="G556">
        <f t="shared" si="32"/>
        <v>3.3385530829631808E-3</v>
      </c>
      <c r="H556" s="8">
        <f t="shared" si="35"/>
        <v>802150.86369378783</v>
      </c>
      <c r="I556" s="8">
        <f t="shared" si="33"/>
        <v>1067100.1647020529</v>
      </c>
      <c r="J556" s="13">
        <f t="shared" si="34"/>
        <v>-0.24828906392516781</v>
      </c>
    </row>
    <row r="557" spans="1:10" x14ac:dyDescent="0.25">
      <c r="A557" s="6">
        <v>45264</v>
      </c>
      <c r="B557">
        <f>(Prices!B703/Prices!B702)-1</f>
        <v>2.0070285044904379E-2</v>
      </c>
      <c r="C557">
        <f>(Prices!C703/Prices!C702)-1</f>
        <v>1.4553704830944536E-2</v>
      </c>
      <c r="D557">
        <f>(Prices!D703/Prices!D702)-1</f>
        <v>5.4446460980037692E-3</v>
      </c>
      <c r="E557">
        <f>(Prices!E703/Prices!E702)-1</f>
        <v>-7.2488086448755373E-3</v>
      </c>
      <c r="F557">
        <f>(Prices!F703/Prices!F702)-1</f>
        <v>-2.0517187983895013E-3</v>
      </c>
      <c r="G557">
        <f t="shared" si="32"/>
        <v>6.1536217061175288E-3</v>
      </c>
      <c r="H557" s="8">
        <f t="shared" si="35"/>
        <v>807086.99666019483</v>
      </c>
      <c r="I557" s="8">
        <f t="shared" si="33"/>
        <v>1067100.1647020529</v>
      </c>
      <c r="J557" s="13">
        <f t="shared" si="34"/>
        <v>-0.24366331919221182</v>
      </c>
    </row>
    <row r="558" spans="1:10" x14ac:dyDescent="0.25">
      <c r="A558" s="5">
        <v>45265</v>
      </c>
      <c r="B558">
        <f>(Prices!B702/Prices!B701)-1</f>
        <v>-1.3178175092478317E-2</v>
      </c>
      <c r="C558">
        <f>(Prices!C702/Prices!C701)-1</f>
        <v>-9.0752063170016495E-3</v>
      </c>
      <c r="D558">
        <f>(Prices!D702/Prices!D701)-1</f>
        <v>1.9814915623298957E-2</v>
      </c>
      <c r="E558">
        <f>(Prices!E702/Prices!E701)-1</f>
        <v>1.3425521917165284E-4</v>
      </c>
      <c r="F558">
        <f>(Prices!F702/Prices!F701)-1</f>
        <v>-3.5872709739633857E-3</v>
      </c>
      <c r="G558">
        <f t="shared" si="32"/>
        <v>-1.1782963081945481E-3</v>
      </c>
      <c r="H558" s="8">
        <f t="shared" si="35"/>
        <v>806136.00903163827</v>
      </c>
      <c r="I558" s="8">
        <f t="shared" si="33"/>
        <v>1067100.1647020529</v>
      </c>
      <c r="J558" s="13">
        <f t="shared" si="34"/>
        <v>-0.24455450791095976</v>
      </c>
    </row>
    <row r="559" spans="1:10" x14ac:dyDescent="0.25">
      <c r="A559" s="6">
        <v>45266</v>
      </c>
      <c r="B559">
        <f>(Prices!B701/Prices!B700)-1</f>
        <v>7.5316406553302961E-3</v>
      </c>
      <c r="C559">
        <f>(Prices!C701/Prices!C700)-1</f>
        <v>1.0080589326760814E-2</v>
      </c>
      <c r="D559">
        <f>(Prices!D701/Prices!D700)-1</f>
        <v>1.3461326271653862E-2</v>
      </c>
      <c r="E559">
        <f>(Prices!E701/Prices!E700)-1</f>
        <v>1.0582728444474609E-2</v>
      </c>
      <c r="F559">
        <f>(Prices!F701/Prices!F700)-1</f>
        <v>1.3131976362441566E-3</v>
      </c>
      <c r="G559">
        <f t="shared" si="32"/>
        <v>8.5938964668927486E-3</v>
      </c>
      <c r="H559" s="8">
        <f t="shared" si="35"/>
        <v>813063.85843149037</v>
      </c>
      <c r="I559" s="8">
        <f t="shared" si="33"/>
        <v>1067100.1647020529</v>
      </c>
      <c r="J559" s="13">
        <f t="shared" si="34"/>
        <v>-0.23806228756556563</v>
      </c>
    </row>
    <row r="560" spans="1:10" x14ac:dyDescent="0.25">
      <c r="A560" s="5">
        <v>45267</v>
      </c>
      <c r="B560">
        <f>(Prices!B700/Prices!B699)-1</f>
        <v>-5.0501327042170363E-2</v>
      </c>
      <c r="C560">
        <f>(Prices!C700/Prices!C699)-1</f>
        <v>-5.8094713656388075E-3</v>
      </c>
      <c r="D560">
        <f>(Prices!D700/Prices!D699)-1</f>
        <v>6.9999999999998952E-3</v>
      </c>
      <c r="E560">
        <f>(Prices!E700/Prices!E699)-1</f>
        <v>-3.0434194508319745E-3</v>
      </c>
      <c r="F560">
        <f>(Prices!F700/Prices!F699)-1</f>
        <v>2.3033892727872818E-3</v>
      </c>
      <c r="G560">
        <f t="shared" si="32"/>
        <v>-1.0010165717170795E-2</v>
      </c>
      <c r="H560" s="8">
        <f t="shared" si="35"/>
        <v>804924.95446994877</v>
      </c>
      <c r="I560" s="8">
        <f t="shared" si="33"/>
        <v>1067100.1647020529</v>
      </c>
      <c r="J560" s="13">
        <f t="shared" si="34"/>
        <v>-0.24568941033319641</v>
      </c>
    </row>
    <row r="561" spans="1:10" x14ac:dyDescent="0.25">
      <c r="A561" s="6">
        <v>45268</v>
      </c>
      <c r="B561">
        <f>(Prices!B699/Prices!B698)-1</f>
        <v>1.4358360753813804E-2</v>
      </c>
      <c r="C561">
        <f>(Prices!C699/Prices!C698)-1</f>
        <v>-8.7606779290959613E-3</v>
      </c>
      <c r="D561">
        <f>(Prices!D699/Prices!D698)-1</f>
        <v>-1.1314951115017013E-2</v>
      </c>
      <c r="E561">
        <f>(Prices!E699/Prices!E698)-1</f>
        <v>-1.0903739380560551E-2</v>
      </c>
      <c r="F561">
        <f>(Prices!F699/Prices!F698)-1</f>
        <v>-2.7217975445911202E-3</v>
      </c>
      <c r="G561">
        <f t="shared" si="32"/>
        <v>-3.868561043090169E-3</v>
      </c>
      <c r="H561" s="8">
        <f t="shared" si="35"/>
        <v>801811.05314847524</v>
      </c>
      <c r="I561" s="8">
        <f t="shared" si="33"/>
        <v>1067100.1647020529</v>
      </c>
      <c r="J561" s="13">
        <f t="shared" si="34"/>
        <v>-0.24860750689477176</v>
      </c>
    </row>
    <row r="562" spans="1:10" x14ac:dyDescent="0.25">
      <c r="A562" s="5">
        <v>45271</v>
      </c>
      <c r="B562">
        <f>(Prices!B698/Prices!B697)-1</f>
        <v>1.2800121184579183E-2</v>
      </c>
      <c r="C562">
        <f>(Prices!C698/Prices!C697)-1</f>
        <v>7.8945920668977987E-3</v>
      </c>
      <c r="D562">
        <f>(Prices!D698/Prices!D697)-1</f>
        <v>-7.6838638858389707E-4</v>
      </c>
      <c r="E562">
        <f>(Prices!E698/Prices!E697)-1</f>
        <v>-3.665689149560003E-3</v>
      </c>
      <c r="F562">
        <f>(Prices!F698/Prices!F697)-1</f>
        <v>1.1204372438024635E-2</v>
      </c>
      <c r="G562">
        <f t="shared" si="32"/>
        <v>5.4930020302715434E-3</v>
      </c>
      <c r="H562" s="8">
        <f t="shared" si="35"/>
        <v>806215.40289131389</v>
      </c>
      <c r="I562" s="8">
        <f t="shared" si="33"/>
        <v>1067100.1647020529</v>
      </c>
      <c r="J562" s="13">
        <f t="shared" si="34"/>
        <v>-0.24448010640461404</v>
      </c>
    </row>
    <row r="563" spans="1:10" x14ac:dyDescent="0.25">
      <c r="A563" s="6">
        <v>45272</v>
      </c>
      <c r="B563">
        <f>(Prices!B697/Prices!B696)-1</f>
        <v>5.7895939666334773E-3</v>
      </c>
      <c r="C563">
        <f>(Prices!C697/Prices!C696)-1</f>
        <v>-8.2117037239121116E-3</v>
      </c>
      <c r="D563">
        <f>(Prices!D697/Prices!D696)-1</f>
        <v>1.6060673656033808E-2</v>
      </c>
      <c r="E563">
        <f>(Prices!E697/Prices!E696)-1</f>
        <v>-8.8518958911348866E-3</v>
      </c>
      <c r="F563">
        <f>(Prices!F697/Prices!F696)-1</f>
        <v>-3.7531843727516279E-3</v>
      </c>
      <c r="G563">
        <f t="shared" si="32"/>
        <v>2.0669672697373222E-4</v>
      </c>
      <c r="H563" s="8">
        <f t="shared" si="35"/>
        <v>806382.04497632745</v>
      </c>
      <c r="I563" s="8">
        <f t="shared" si="33"/>
        <v>1067100.1647020529</v>
      </c>
      <c r="J563" s="13">
        <f t="shared" si="34"/>
        <v>-0.24432394291544421</v>
      </c>
    </row>
    <row r="564" spans="1:10" x14ac:dyDescent="0.25">
      <c r="A564" s="5">
        <v>45273</v>
      </c>
      <c r="B564">
        <f>(Prices!B696/Prices!B695)-1</f>
        <v>-3.8074931465115203E-4</v>
      </c>
      <c r="C564">
        <f>(Prices!C696/Prices!C695)-1</f>
        <v>2.7282152016194772E-5</v>
      </c>
      <c r="D564">
        <f>(Prices!D696/Prices!D695)-1</f>
        <v>-8.8436878178199674E-3</v>
      </c>
      <c r="E564">
        <f>(Prices!E696/Prices!E695)-1</f>
        <v>-3.3576930673513417E-3</v>
      </c>
      <c r="F564">
        <f>(Prices!F696/Prices!F695)-1</f>
        <v>-5.9923066514604439E-3</v>
      </c>
      <c r="G564">
        <f t="shared" si="32"/>
        <v>-3.709430939853342E-3</v>
      </c>
      <c r="H564" s="8">
        <f t="shared" si="35"/>
        <v>803390.82646935002</v>
      </c>
      <c r="I564" s="8">
        <f t="shared" si="33"/>
        <v>1067100.1647020529</v>
      </c>
      <c r="J564" s="13">
        <f t="shared" si="34"/>
        <v>-0.24712707106210008</v>
      </c>
    </row>
    <row r="565" spans="1:10" x14ac:dyDescent="0.25">
      <c r="A565" s="6">
        <v>45274</v>
      </c>
      <c r="B565">
        <f>(Prices!B695/Prices!B694)-1</f>
        <v>4.743687834735999E-3</v>
      </c>
      <c r="C565">
        <f>(Prices!C695/Prices!C694)-1</f>
        <v>2.3054594172156051E-2</v>
      </c>
      <c r="D565">
        <f>(Prices!D695/Prices!D694)-1</f>
        <v>-2.6159974162988542E-2</v>
      </c>
      <c r="E565">
        <f>(Prices!E695/Prices!E694)-1</f>
        <v>-1.7846750727449234E-2</v>
      </c>
      <c r="F565">
        <f>(Prices!F695/Prices!F694)-1</f>
        <v>2.7651417333783623E-2</v>
      </c>
      <c r="G565">
        <f t="shared" si="32"/>
        <v>2.2885948900475792E-3</v>
      </c>
      <c r="H565" s="8">
        <f t="shared" si="35"/>
        <v>805229.46260951879</v>
      </c>
      <c r="I565" s="8">
        <f t="shared" si="33"/>
        <v>1067100.1647020529</v>
      </c>
      <c r="J565" s="13">
        <f t="shared" si="34"/>
        <v>-0.24540404992407772</v>
      </c>
    </row>
    <row r="566" spans="1:10" x14ac:dyDescent="0.25">
      <c r="A566" s="5">
        <v>45275</v>
      </c>
      <c r="B566">
        <f>(Prices!B694/Prices!B693)-1</f>
        <v>-4.9486105824134707E-3</v>
      </c>
      <c r="C566">
        <f>(Prices!C694/Prices!C693)-1</f>
        <v>-1.2948371811119186E-2</v>
      </c>
      <c r="D566">
        <f>(Prices!D694/Prices!D693)-1</f>
        <v>6.719410425924055E-3</v>
      </c>
      <c r="E566">
        <f>(Prices!E694/Prices!E693)-1</f>
        <v>-7.5086638428956132E-3</v>
      </c>
      <c r="F566">
        <f>(Prices!F694/Prices!F693)-1</f>
        <v>5.8744779906887423E-3</v>
      </c>
      <c r="G566">
        <f t="shared" si="32"/>
        <v>-2.5623515639630946E-3</v>
      </c>
      <c r="H566" s="8">
        <f t="shared" si="35"/>
        <v>803166.18163665209</v>
      </c>
      <c r="I566" s="8">
        <f t="shared" si="33"/>
        <v>1067100.1647020529</v>
      </c>
      <c r="J566" s="13">
        <f t="shared" si="34"/>
        <v>-0.24733759003691499</v>
      </c>
    </row>
    <row r="567" spans="1:10" x14ac:dyDescent="0.25">
      <c r="A567" s="6">
        <v>45278</v>
      </c>
      <c r="B567">
        <f>(Prices!B693/Prices!B692)-1</f>
        <v>-2.3565269104965925E-2</v>
      </c>
      <c r="C567">
        <f>(Prices!C693/Prices!C692)-1</f>
        <v>-5.1526612947431216E-3</v>
      </c>
      <c r="D567">
        <f>(Prices!D693/Prices!D692)-1</f>
        <v>-7.3157611619151242E-3</v>
      </c>
      <c r="E567">
        <f>(Prices!E693/Prices!E692)-1</f>
        <v>-5.9964276601173205E-3</v>
      </c>
      <c r="F567">
        <f>(Prices!F693/Prices!F692)-1</f>
        <v>8.6867139632376134E-3</v>
      </c>
      <c r="G567">
        <f t="shared" si="32"/>
        <v>-6.6686810517007757E-3</v>
      </c>
      <c r="H567" s="8">
        <f t="shared" si="35"/>
        <v>797810.1225398049</v>
      </c>
      <c r="I567" s="8">
        <f t="shared" si="33"/>
        <v>1067100.1647020529</v>
      </c>
      <c r="J567" s="13">
        <f t="shared" si="34"/>
        <v>-0.25235685558856324</v>
      </c>
    </row>
    <row r="568" spans="1:10" x14ac:dyDescent="0.25">
      <c r="A568" s="5">
        <v>45279</v>
      </c>
      <c r="B568">
        <f>(Prices!B692/Prices!B691)-1</f>
        <v>-6.2056737588652711E-3</v>
      </c>
      <c r="C568">
        <f>(Prices!C692/Prices!C691)-1</f>
        <v>-1.6417665407978399E-3</v>
      </c>
      <c r="D568">
        <f>(Prices!D692/Prices!D691)-1</f>
        <v>-1.3060097685283489E-2</v>
      </c>
      <c r="E568">
        <f>(Prices!E692/Prices!E691)-1</f>
        <v>-1.3219186705275221E-2</v>
      </c>
      <c r="F568">
        <f>(Prices!F692/Prices!F691)-1</f>
        <v>4.7792628594574005E-3</v>
      </c>
      <c r="G568">
        <f t="shared" si="32"/>
        <v>-5.8694923661528845E-3</v>
      </c>
      <c r="H568" s="8">
        <f t="shared" si="35"/>
        <v>793127.38211591798</v>
      </c>
      <c r="I568" s="8">
        <f t="shared" si="33"/>
        <v>1067100.1647020529</v>
      </c>
      <c r="J568" s="13">
        <f t="shared" si="34"/>
        <v>-0.25674514131729276</v>
      </c>
    </row>
    <row r="569" spans="1:10" x14ac:dyDescent="0.25">
      <c r="A569" s="6">
        <v>45280</v>
      </c>
      <c r="B569">
        <f>(Prices!B691/Prices!B690)-1</f>
        <v>-1.2259194395796702E-2</v>
      </c>
      <c r="C569">
        <f>(Prices!C691/Prices!C690)-1</f>
        <v>7.1375423705457575E-3</v>
      </c>
      <c r="D569">
        <f>(Prices!D691/Prices!D690)-1</f>
        <v>1.7062634989200909E-2</v>
      </c>
      <c r="E569">
        <f>(Prices!E691/Prices!E690)-1</f>
        <v>1.1460588310199915E-2</v>
      </c>
      <c r="F569">
        <f>(Prices!F691/Prices!F690)-1</f>
        <v>1.5714990949481589E-2</v>
      </c>
      <c r="G569">
        <f t="shared" si="32"/>
        <v>7.8233124447262947E-3</v>
      </c>
      <c r="H569" s="8">
        <f t="shared" si="35"/>
        <v>799332.26543467853</v>
      </c>
      <c r="I569" s="8">
        <f t="shared" si="33"/>
        <v>1067100.1647020529</v>
      </c>
      <c r="J569" s="13">
        <f t="shared" si="34"/>
        <v>-0.25093042633175716</v>
      </c>
    </row>
    <row r="570" spans="1:10" x14ac:dyDescent="0.25">
      <c r="A570" s="5">
        <v>45281</v>
      </c>
      <c r="B570">
        <f>(Prices!B690/Prices!B689)-1</f>
        <v>-1.4809489575844714E-2</v>
      </c>
      <c r="C570">
        <f>(Prices!C690/Prices!C689)-1</f>
        <v>-7.8199764853854603E-3</v>
      </c>
      <c r="D570">
        <f>(Prices!D690/Prices!D689)-1</f>
        <v>-4.6221648930453441E-3</v>
      </c>
      <c r="E570">
        <f>(Prices!E690/Prices!E689)-1</f>
        <v>-5.6976449734110757E-3</v>
      </c>
      <c r="F570">
        <f>(Prices!F690/Prices!F689)-1</f>
        <v>-7.5936964154486031E-3</v>
      </c>
      <c r="G570">
        <f t="shared" si="32"/>
        <v>-8.1085944686270402E-3</v>
      </c>
      <c r="H570" s="8">
        <f t="shared" si="35"/>
        <v>792850.80424857978</v>
      </c>
      <c r="I570" s="8">
        <f t="shared" si="33"/>
        <v>1067100.1647020529</v>
      </c>
      <c r="J570" s="13">
        <f t="shared" si="34"/>
        <v>-0.2570043277334203</v>
      </c>
    </row>
    <row r="571" spans="1:10" x14ac:dyDescent="0.25">
      <c r="A571" s="6">
        <v>45282</v>
      </c>
      <c r="B571">
        <f>(Prices!B689/Prices!B688)-1</f>
        <v>-7.562785388127824E-3</v>
      </c>
      <c r="C571">
        <f>(Prices!C689/Prices!C688)-1</f>
        <v>-2.781186094069521E-3</v>
      </c>
      <c r="D571">
        <f>(Prices!D689/Prices!D688)-1</f>
        <v>-1.7169224165682895E-3</v>
      </c>
      <c r="E571">
        <f>(Prices!E689/Prices!E688)-1</f>
        <v>6.3347269732672018E-4</v>
      </c>
      <c r="F571">
        <f>(Prices!F689/Prices!F688)-1</f>
        <v>-8.1586032471236969E-4</v>
      </c>
      <c r="G571">
        <f t="shared" si="32"/>
        <v>-2.4486563052302564E-3</v>
      </c>
      <c r="H571" s="8">
        <f t="shared" si="35"/>
        <v>790909.38512764964</v>
      </c>
      <c r="I571" s="8">
        <f t="shared" si="33"/>
        <v>1067100.1647020529</v>
      </c>
      <c r="J571" s="13">
        <f t="shared" si="34"/>
        <v>-0.2588236687710746</v>
      </c>
    </row>
    <row r="572" spans="1:10" x14ac:dyDescent="0.25">
      <c r="A572" s="5">
        <v>45286</v>
      </c>
      <c r="B572">
        <f>(Prices!B688/Prices!B687)-1</f>
        <v>-2.1399529210353041E-4</v>
      </c>
      <c r="C572">
        <f>(Prices!C688/Prices!C687)-1</f>
        <v>-2.1808467137363063E-4</v>
      </c>
      <c r="D572">
        <f>(Prices!D688/Prices!D687)-1</f>
        <v>-2.2483940042827832E-3</v>
      </c>
      <c r="E572">
        <f>(Prices!E688/Prices!E687)-1</f>
        <v>-5.9193954659949588E-3</v>
      </c>
      <c r="F572">
        <f>(Prices!F688/Prices!F687)-1</f>
        <v>5.3059058813920146E-4</v>
      </c>
      <c r="G572">
        <f t="shared" si="32"/>
        <v>-1.6138557691231404E-3</v>
      </c>
      <c r="H572" s="8">
        <f t="shared" si="35"/>
        <v>789632.97145360778</v>
      </c>
      <c r="I572" s="8">
        <f t="shared" si="33"/>
        <v>1067100.1647020529</v>
      </c>
      <c r="J572" s="13">
        <f t="shared" si="34"/>
        <v>-0.26001982046916589</v>
      </c>
    </row>
    <row r="573" spans="1:10" x14ac:dyDescent="0.25">
      <c r="A573" s="6">
        <v>45287</v>
      </c>
      <c r="B573">
        <f>(Prices!B687/Prices!B686)-1</f>
        <v>8.1984897518876387E-3</v>
      </c>
      <c r="C573">
        <f>(Prices!C687/Prices!C686)-1</f>
        <v>1.5836177474402025E-3</v>
      </c>
      <c r="D573">
        <f>(Prices!D687/Prices!D686)-1</f>
        <v>4.7332185886403977E-3</v>
      </c>
      <c r="E573">
        <f>(Prices!E687/Prices!E686)-1</f>
        <v>-5.9467918622847504E-3</v>
      </c>
      <c r="F573">
        <f>(Prices!F687/Prices!F686)-1</f>
        <v>-5.277901831025944E-3</v>
      </c>
      <c r="G573">
        <f t="shared" si="32"/>
        <v>6.5812647893150923E-4</v>
      </c>
      <c r="H573" s="8">
        <f t="shared" si="35"/>
        <v>790152.64982075884</v>
      </c>
      <c r="I573" s="8">
        <f t="shared" si="33"/>
        <v>1067100.1647020529</v>
      </c>
      <c r="J573" s="13">
        <f t="shared" si="34"/>
        <v>-0.25953281991913207</v>
      </c>
    </row>
    <row r="574" spans="1:10" x14ac:dyDescent="0.25">
      <c r="A574" s="5">
        <v>45288</v>
      </c>
      <c r="B574">
        <f>(Prices!B686/Prices!B685)-1</f>
        <v>1.0078468072853841E-3</v>
      </c>
      <c r="C574">
        <f>(Prices!C686/Prices!C685)-1</f>
        <v>-3.2386239930328742E-3</v>
      </c>
      <c r="D574">
        <f>(Prices!D686/Prices!D685)-1</f>
        <v>1.462562759222874E-2</v>
      </c>
      <c r="E574">
        <f>(Prices!E686/Prices!E685)-1</f>
        <v>-5.2926525529264357E-3</v>
      </c>
      <c r="F574">
        <f>(Prices!F686/Prices!F685)-1</f>
        <v>-4.0233719496168829E-3</v>
      </c>
      <c r="G574">
        <f t="shared" si="32"/>
        <v>6.157651807875864E-4</v>
      </c>
      <c r="H574" s="8">
        <f t="shared" si="35"/>
        <v>790639.19831002562</v>
      </c>
      <c r="I574" s="8">
        <f t="shared" si="33"/>
        <v>1067100.1647020529</v>
      </c>
      <c r="J574" s="13">
        <f t="shared" si="34"/>
        <v>-0.25907686601212221</v>
      </c>
    </row>
    <row r="575" spans="1:10" x14ac:dyDescent="0.25">
      <c r="A575" s="6">
        <v>45289</v>
      </c>
      <c r="B575">
        <f>(Prices!B685/Prices!B684)-1</f>
        <v>3.9025800390257714E-3</v>
      </c>
      <c r="C575">
        <f>(Prices!C685/Prices!C684)-1</f>
        <v>-2.0098864685751394E-3</v>
      </c>
      <c r="D575">
        <f>(Prices!D685/Prices!D684)-1</f>
        <v>2.0780925298042874E-3</v>
      </c>
      <c r="E575">
        <f>(Prices!E685/Prices!E684)-1</f>
        <v>1.1844648089271992E-3</v>
      </c>
      <c r="F575">
        <f>(Prices!F685/Prices!F684)-1</f>
        <v>-2.9833296377672625E-3</v>
      </c>
      <c r="G575">
        <f t="shared" si="32"/>
        <v>4.3438425428297131E-4</v>
      </c>
      <c r="H575" s="8">
        <f t="shared" si="35"/>
        <v>790982.63952859037</v>
      </c>
      <c r="I575" s="8">
        <f t="shared" si="33"/>
        <v>1067100.1647020529</v>
      </c>
      <c r="J575" s="13">
        <f t="shared" si="34"/>
        <v>-0.25875502066908396</v>
      </c>
    </row>
    <row r="576" spans="1:10" x14ac:dyDescent="0.25">
      <c r="A576" s="5">
        <v>45293</v>
      </c>
      <c r="B576">
        <f>(Prices!B684/Prices!B683)-1</f>
        <v>1.0959304449477569E-2</v>
      </c>
      <c r="C576">
        <f>(Prices!C684/Prices!C683)-1</f>
        <v>1.3934787398105275E-2</v>
      </c>
      <c r="D576">
        <f>(Prices!D684/Prices!D683)-1</f>
        <v>-2.3183760683760601E-2</v>
      </c>
      <c r="E576">
        <f>(Prices!E684/Prices!E683)-1</f>
        <v>-1.1523293073699814E-2</v>
      </c>
      <c r="F576">
        <f>(Prices!F684/Prices!F683)-1</f>
        <v>-2.384840912221331E-2</v>
      </c>
      <c r="G576">
        <f t="shared" si="32"/>
        <v>-6.7322742064181759E-3</v>
      </c>
      <c r="H576" s="8">
        <f t="shared" si="35"/>
        <v>785657.52750676742</v>
      </c>
      <c r="I576" s="8">
        <f t="shared" si="33"/>
        <v>1067100.1647020529</v>
      </c>
      <c r="J576" s="13">
        <f t="shared" si="34"/>
        <v>-0.26374528512407047</v>
      </c>
    </row>
    <row r="577" spans="1:10" x14ac:dyDescent="0.25">
      <c r="A577" s="6">
        <v>45294</v>
      </c>
      <c r="B577">
        <f>(Prices!B683/Prices!B682)-1</f>
        <v>-5.3775161688831563E-3</v>
      </c>
      <c r="C577">
        <f>(Prices!C683/Prices!C682)-1</f>
        <v>7.4410913600653217E-4</v>
      </c>
      <c r="D577">
        <f>(Prices!D683/Prices!D682)-1</f>
        <v>-8.3695306706219608E-3</v>
      </c>
      <c r="E577">
        <f>(Prices!E683/Prices!E682)-1</f>
        <v>4.3943801448289577E-3</v>
      </c>
      <c r="F577">
        <f>(Prices!F683/Prices!F682)-1</f>
        <v>-4.9730788056779884E-3</v>
      </c>
      <c r="G577">
        <f t="shared" si="32"/>
        <v>-2.7163272728695236E-3</v>
      </c>
      <c r="H577" s="8">
        <f t="shared" si="35"/>
        <v>783523.42453766556</v>
      </c>
      <c r="I577" s="8">
        <f t="shared" si="33"/>
        <v>1067100.1647020529</v>
      </c>
      <c r="J577" s="13">
        <f t="shared" si="34"/>
        <v>-0.26574519388586676</v>
      </c>
    </row>
    <row r="578" spans="1:10" x14ac:dyDescent="0.25">
      <c r="A578" s="5">
        <v>45295</v>
      </c>
      <c r="B578">
        <f>(Prices!B682/Prices!B681)-1</f>
        <v>1.8578830495929122E-2</v>
      </c>
      <c r="C578">
        <f>(Prices!C682/Prices!C681)-1</f>
        <v>7.2172102706453689E-3</v>
      </c>
      <c r="D578">
        <f>(Prices!D682/Prices!D681)-1</f>
        <v>8.7634925724058288E-3</v>
      </c>
      <c r="E578">
        <f>(Prices!E682/Prices!E681)-1</f>
        <v>-6.5789473684210176E-3</v>
      </c>
      <c r="F578">
        <f>(Prices!F682/Prices!F681)-1</f>
        <v>-6.206950227653163E-3</v>
      </c>
      <c r="G578">
        <f t="shared" ref="G578:G641" si="36">B578*20%+C578*20%+D578*20%+E578*20%+F578*20%</f>
        <v>4.3547271485812281E-3</v>
      </c>
      <c r="H578" s="8">
        <f t="shared" si="35"/>
        <v>786935.45526604913</v>
      </c>
      <c r="I578" s="8">
        <f t="shared" ref="I578:I641" si="37">MAX(I577,H578)</f>
        <v>1067100.1647020529</v>
      </c>
      <c r="J578" s="13">
        <f t="shared" ref="J578:J641" si="38">(H578-I578)/I578</f>
        <v>-0.2625477145477052</v>
      </c>
    </row>
    <row r="579" spans="1:10" x14ac:dyDescent="0.25">
      <c r="A579" s="6">
        <v>45296</v>
      </c>
      <c r="B579">
        <f>(Prices!B681/Prices!B680)-1</f>
        <v>4.8345109706211531E-3</v>
      </c>
      <c r="C579">
        <f>(Prices!C681/Prices!C680)-1</f>
        <v>5.2768982947282161E-4</v>
      </c>
      <c r="D579">
        <f>(Prices!D681/Prices!D680)-1</f>
        <v>-2.9834842834309816E-3</v>
      </c>
      <c r="E579">
        <f>(Prices!E681/Prices!E680)-1</f>
        <v>-5.0165178025206592E-3</v>
      </c>
      <c r="F579">
        <f>(Prices!F681/Prices!F680)-1</f>
        <v>1.4949542824417072E-2</v>
      </c>
      <c r="G579">
        <f t="shared" si="36"/>
        <v>2.4623483077118812E-3</v>
      </c>
      <c r="H579" s="8">
        <f t="shared" si="35"/>
        <v>788873.16445260204</v>
      </c>
      <c r="I579" s="8">
        <f t="shared" si="37"/>
        <v>1067100.1647020529</v>
      </c>
      <c r="J579" s="13">
        <f t="shared" si="38"/>
        <v>-0.26073185016060341</v>
      </c>
    </row>
    <row r="580" spans="1:10" x14ac:dyDescent="0.25">
      <c r="A580" s="5">
        <v>45299</v>
      </c>
      <c r="B580">
        <f>(Prices!B680/Prices!B679)-1</f>
        <v>-2.2395113793354238E-2</v>
      </c>
      <c r="C580">
        <f>(Prices!C680/Prices!C679)-1</f>
        <v>-1.8535681186283681E-2</v>
      </c>
      <c r="D580">
        <f>(Prices!D680/Prices!D679)-1</f>
        <v>1.7013437364542527E-2</v>
      </c>
      <c r="E580">
        <f>(Prices!E680/Prices!E679)-1</f>
        <v>1.4704080382306195E-3</v>
      </c>
      <c r="F580">
        <f>(Prices!F680/Prices!F679)-1</f>
        <v>1.60218371706633E-3</v>
      </c>
      <c r="G580">
        <f t="shared" si="36"/>
        <v>-4.1689531719596882E-3</v>
      </c>
      <c r="H580" s="8">
        <f t="shared" ref="H580:H643" si="39">H579*(1+G580)</f>
        <v>785584.38917138358</v>
      </c>
      <c r="I580" s="8">
        <f t="shared" si="37"/>
        <v>1067100.1647020529</v>
      </c>
      <c r="J580" s="13">
        <f t="shared" si="38"/>
        <v>-0.26381382445880508</v>
      </c>
    </row>
    <row r="581" spans="1:10" x14ac:dyDescent="0.25">
      <c r="A581" s="6">
        <v>45300</v>
      </c>
      <c r="B581">
        <f>(Prices!B679/Prices!B678)-1</f>
        <v>-1.4969202120040159E-2</v>
      </c>
      <c r="C581">
        <f>(Prices!C679/Prices!C678)-1</f>
        <v>-2.9352611838886489E-3</v>
      </c>
      <c r="D581">
        <f>(Prices!D679/Prices!D678)-1</f>
        <v>1.2508229098090906E-2</v>
      </c>
      <c r="E581">
        <f>(Prices!E679/Prices!E678)-1</f>
        <v>7.9664052368306759E-3</v>
      </c>
      <c r="F581">
        <f>(Prices!F679/Prices!F678)-1</f>
        <v>-3.429923122412748E-3</v>
      </c>
      <c r="G581">
        <f t="shared" si="36"/>
        <v>-1.719504182839946E-4</v>
      </c>
      <c r="H581" s="8">
        <f t="shared" si="39"/>
        <v>785449.30760706821</v>
      </c>
      <c r="I581" s="8">
        <f t="shared" si="37"/>
        <v>1067100.1647020529</v>
      </c>
      <c r="J581" s="13">
        <f t="shared" si="38"/>
        <v>-0.26394041197962426</v>
      </c>
    </row>
    <row r="582" spans="1:10" x14ac:dyDescent="0.25">
      <c r="A582" s="5">
        <v>45301</v>
      </c>
      <c r="B582">
        <f>(Prices!B678/Prices!B677)-1</f>
        <v>-9.3656875266070472E-3</v>
      </c>
      <c r="C582">
        <f>(Prices!C678/Prices!C677)-1</f>
        <v>-1.822451103343381E-2</v>
      </c>
      <c r="D582">
        <f>(Prices!D678/Prices!D677)-1</f>
        <v>9.8614958448752787E-3</v>
      </c>
      <c r="E582">
        <f>(Prices!E678/Prices!E677)-1</f>
        <v>-2.0952733099155463E-3</v>
      </c>
      <c r="F582">
        <f>(Prices!F678/Prices!F677)-1</f>
        <v>1.3619944335878653E-3</v>
      </c>
      <c r="G582">
        <f t="shared" si="36"/>
        <v>-3.6923963182986515E-3</v>
      </c>
      <c r="H582" s="8">
        <f t="shared" si="39"/>
        <v>782549.11747544969</v>
      </c>
      <c r="I582" s="8">
        <f t="shared" si="37"/>
        <v>1067100.1647020529</v>
      </c>
      <c r="J582" s="13">
        <f t="shared" si="38"/>
        <v>-0.26665823569247904</v>
      </c>
    </row>
    <row r="583" spans="1:10" x14ac:dyDescent="0.25">
      <c r="A583" s="6">
        <v>45302</v>
      </c>
      <c r="B583">
        <f>(Prices!B677/Prices!B676)-1</f>
        <v>1.4210601108426424E-3</v>
      </c>
      <c r="C583">
        <f>(Prices!C677/Prices!C676)-1</f>
        <v>-4.8328420829018004E-3</v>
      </c>
      <c r="D583">
        <f>(Prices!D677/Prices!D676)-1</f>
        <v>2.2165576859123348E-4</v>
      </c>
      <c r="E583">
        <f>(Prices!E677/Prices!E676)-1</f>
        <v>4.2081811993317508E-3</v>
      </c>
      <c r="F583">
        <f>(Prices!F677/Prices!F676)-1</f>
        <v>-3.7951783537184536E-3</v>
      </c>
      <c r="G583">
        <f t="shared" si="36"/>
        <v>-5.554246715709255E-4</v>
      </c>
      <c r="H583" s="8">
        <f t="shared" si="39"/>
        <v>782114.4703888878</v>
      </c>
      <c r="I583" s="8">
        <f t="shared" si="37"/>
        <v>1067100.1647020529</v>
      </c>
      <c r="J583" s="13">
        <f t="shared" si="38"/>
        <v>-0.26706555180106878</v>
      </c>
    </row>
    <row r="584" spans="1:10" x14ac:dyDescent="0.25">
      <c r="A584" s="5">
        <v>45303</v>
      </c>
      <c r="B584">
        <f>(Prices!B676/Prices!B675)-1</f>
        <v>-4.03368480645383E-3</v>
      </c>
      <c r="C584">
        <f>(Prices!C676/Prices!C675)-1</f>
        <v>-9.8856316550546275E-3</v>
      </c>
      <c r="D584">
        <f>(Prices!D676/Prices!D675)-1</f>
        <v>-1.2800875273523027E-2</v>
      </c>
      <c r="E584">
        <f>(Prices!E676/Prices!E675)-1</f>
        <v>7.4189526184538224E-3</v>
      </c>
      <c r="F584">
        <f>(Prices!F676/Prices!F675)-1</f>
        <v>3.4858875480759499E-2</v>
      </c>
      <c r="G584">
        <f t="shared" si="36"/>
        <v>3.1115272728363674E-3</v>
      </c>
      <c r="H584" s="8">
        <f t="shared" si="39"/>
        <v>784548.04089398275</v>
      </c>
      <c r="I584" s="8">
        <f t="shared" si="37"/>
        <v>1067100.1647020529</v>
      </c>
      <c r="J584" s="13">
        <f t="shared" si="38"/>
        <v>-0.26478500627629659</v>
      </c>
    </row>
    <row r="585" spans="1:10" x14ac:dyDescent="0.25">
      <c r="A585" s="6">
        <v>45307</v>
      </c>
      <c r="B585">
        <f>(Prices!B675/Prices!B674)-1</f>
        <v>1.1335458731844827E-3</v>
      </c>
      <c r="C585">
        <f>(Prices!C675/Prices!C674)-1</f>
        <v>-4.6060035068435923E-3</v>
      </c>
      <c r="D585">
        <f>(Prices!D675/Prices!D674)-1</f>
        <v>2.317250643680735E-2</v>
      </c>
      <c r="E585">
        <f>(Prices!E675/Prices!E674)-1</f>
        <v>6.273525721455453E-3</v>
      </c>
      <c r="F585">
        <f>(Prices!F675/Prices!F674)-1</f>
        <v>4.5381140252254148E-3</v>
      </c>
      <c r="G585">
        <f t="shared" si="36"/>
        <v>6.1023377099658216E-3</v>
      </c>
      <c r="H585" s="8">
        <f t="shared" si="39"/>
        <v>789335.61798920995</v>
      </c>
      <c r="I585" s="8">
        <f t="shared" si="37"/>
        <v>1067100.1647020529</v>
      </c>
      <c r="J585" s="13">
        <f t="shared" si="38"/>
        <v>-0.2602984760951641</v>
      </c>
    </row>
    <row r="586" spans="1:10" x14ac:dyDescent="0.25">
      <c r="A586" s="5">
        <v>45308</v>
      </c>
      <c r="B586">
        <f>(Prices!B674/Prices!B673)-1</f>
        <v>7.207078635650177E-3</v>
      </c>
      <c r="C586">
        <f>(Prices!C674/Prices!C673)-1</f>
        <v>2.0454724254583834E-3</v>
      </c>
      <c r="D586">
        <f>(Prices!D674/Prices!D673)-1</f>
        <v>7.3297248534054393E-3</v>
      </c>
      <c r="E586">
        <f>(Prices!E674/Prices!E673)-1</f>
        <v>5.4244985492621911E-3</v>
      </c>
      <c r="F586">
        <f>(Prices!F674/Prices!F673)-1</f>
        <v>-1.103810775295655E-2</v>
      </c>
      <c r="G586">
        <f t="shared" si="36"/>
        <v>2.1937333421639285E-3</v>
      </c>
      <c r="H586" s="8">
        <f t="shared" si="39"/>
        <v>791067.20985255053</v>
      </c>
      <c r="I586" s="8">
        <f t="shared" si="37"/>
        <v>1067100.1647020529</v>
      </c>
      <c r="J586" s="13">
        <f t="shared" si="38"/>
        <v>-0.25867576819892452</v>
      </c>
    </row>
    <row r="587" spans="1:10" x14ac:dyDescent="0.25">
      <c r="A587" s="6">
        <v>45309</v>
      </c>
      <c r="B587">
        <f>(Prices!B673/Prices!B672)-1</f>
        <v>-1.4001266446211247E-2</v>
      </c>
      <c r="C587">
        <f>(Prices!C673/Prices!C672)-1</f>
        <v>-1.1176226532517375E-2</v>
      </c>
      <c r="D587">
        <f>(Prices!D673/Prices!D672)-1</f>
        <v>1.8075011296883048E-3</v>
      </c>
      <c r="E587">
        <f>(Prices!E673/Prices!E672)-1</f>
        <v>-2.0143522598515817E-3</v>
      </c>
      <c r="F587">
        <f>(Prices!F673/Prices!F672)-1</f>
        <v>1.6668721996135893E-2</v>
      </c>
      <c r="G587">
        <f t="shared" si="36"/>
        <v>-1.7431244225512019E-3</v>
      </c>
      <c r="H587" s="8">
        <f t="shared" si="39"/>
        <v>789688.28127917706</v>
      </c>
      <c r="I587" s="8">
        <f t="shared" si="37"/>
        <v>1067100.1647020529</v>
      </c>
      <c r="J587" s="13">
        <f t="shared" si="38"/>
        <v>-0.25996798857240605</v>
      </c>
    </row>
    <row r="588" spans="1:10" x14ac:dyDescent="0.25">
      <c r="A588" s="5">
        <v>45310</v>
      </c>
      <c r="B588">
        <f>(Prices!B672/Prices!B671)-1</f>
        <v>-1.9793103448275895E-2</v>
      </c>
      <c r="C588">
        <f>(Prices!C672/Prices!C671)-1</f>
        <v>-1.2040784956704353E-2</v>
      </c>
      <c r="D588">
        <f>(Prices!D672/Prices!D671)-1</f>
        <v>-1.4664410603497657E-3</v>
      </c>
      <c r="E588">
        <f>(Prices!E672/Prices!E671)-1</f>
        <v>-1.6955445544554304E-2</v>
      </c>
      <c r="F588">
        <f>(Prices!F672/Prices!F671)-1</f>
        <v>2.5374077976817677E-2</v>
      </c>
      <c r="G588">
        <f t="shared" si="36"/>
        <v>-4.9763394066133278E-3</v>
      </c>
      <c r="H588" s="8">
        <f t="shared" si="39"/>
        <v>785758.52436610672</v>
      </c>
      <c r="I588" s="8">
        <f t="shared" si="37"/>
        <v>1067100.1647020529</v>
      </c>
      <c r="J588" s="13">
        <f t="shared" si="38"/>
        <v>-0.26365063903302849</v>
      </c>
    </row>
    <row r="589" spans="1:10" x14ac:dyDescent="0.25">
      <c r="A589" s="6">
        <v>45313</v>
      </c>
      <c r="B589">
        <f>(Prices!B671/Prices!B670)-1</f>
        <v>2.6969089274599956E-3</v>
      </c>
      <c r="C589">
        <f>(Prices!C671/Prices!C670)-1</f>
        <v>5.4608211838647058E-3</v>
      </c>
      <c r="D589">
        <f>(Prices!D671/Prices!D670)-1</f>
        <v>1.242376327083905E-3</v>
      </c>
      <c r="E589">
        <f>(Prices!E671/Prices!E670)-1</f>
        <v>1.1771265720834645E-3</v>
      </c>
      <c r="F589">
        <f>(Prices!F671/Prices!F670)-1</f>
        <v>-1.8390947268251301E-2</v>
      </c>
      <c r="G589">
        <f t="shared" si="36"/>
        <v>-1.5627428515518462E-3</v>
      </c>
      <c r="H589" s="8">
        <f t="shared" si="39"/>
        <v>784530.58584910759</v>
      </c>
      <c r="I589" s="8">
        <f t="shared" si="37"/>
        <v>1067100.1647020529</v>
      </c>
      <c r="J589" s="13">
        <f t="shared" si="38"/>
        <v>-0.26480136373312446</v>
      </c>
    </row>
    <row r="590" spans="1:10" x14ac:dyDescent="0.25">
      <c r="A590" s="5">
        <v>45314</v>
      </c>
      <c r="B590">
        <f>(Prices!B670/Prices!B669)-1</f>
        <v>-7.1404050806728181E-3</v>
      </c>
      <c r="C590">
        <f>(Prices!C670/Prices!C669)-1</f>
        <v>-5.9913969684555202E-3</v>
      </c>
      <c r="D590">
        <f>(Prices!D670/Prices!D669)-1</f>
        <v>-1.1057746006924996E-2</v>
      </c>
      <c r="E590">
        <f>(Prices!E670/Prices!E669)-1</f>
        <v>6.6105394449642585E-3</v>
      </c>
      <c r="F590">
        <f>(Prices!F670/Prices!F669)-1</f>
        <v>-4.8994380056405218E-3</v>
      </c>
      <c r="G590">
        <f t="shared" si="36"/>
        <v>-4.4956893233459192E-3</v>
      </c>
      <c r="H590" s="8">
        <f t="shared" si="39"/>
        <v>781003.58007046743</v>
      </c>
      <c r="I590" s="8">
        <f t="shared" si="37"/>
        <v>1067100.1647020529</v>
      </c>
      <c r="J590" s="13">
        <f t="shared" si="38"/>
        <v>-0.26810658839272794</v>
      </c>
    </row>
    <row r="591" spans="1:10" x14ac:dyDescent="0.25">
      <c r="A591" s="6">
        <v>45315</v>
      </c>
      <c r="B591">
        <f>(Prices!B669/Prices!B668)-1</f>
        <v>-1.1201629327902252E-2</v>
      </c>
      <c r="C591">
        <f>(Prices!C669/Prices!C668)-1</f>
        <v>-9.1082075352022507E-3</v>
      </c>
      <c r="D591">
        <f>(Prices!D669/Prices!D668)-1</f>
        <v>-1.7018006148440845E-2</v>
      </c>
      <c r="E591">
        <f>(Prices!E669/Prices!E668)-1</f>
        <v>-8.8391642971937801E-3</v>
      </c>
      <c r="F591">
        <f>(Prices!F669/Prices!F668)-1</f>
        <v>4.4664088831909421E-3</v>
      </c>
      <c r="G591">
        <f t="shared" si="36"/>
        <v>-8.3401196851096374E-3</v>
      </c>
      <c r="H591" s="8">
        <f t="shared" si="39"/>
        <v>774489.91673818068</v>
      </c>
      <c r="I591" s="8">
        <f t="shared" si="37"/>
        <v>1067100.1647020529</v>
      </c>
      <c r="J591" s="13">
        <f t="shared" si="38"/>
        <v>-0.27421066704227576</v>
      </c>
    </row>
    <row r="592" spans="1:10" x14ac:dyDescent="0.25">
      <c r="A592" s="5">
        <v>45316</v>
      </c>
      <c r="B592">
        <f>(Prices!B668/Prices!B667)-1</f>
        <v>-2.0872108481786666E-2</v>
      </c>
      <c r="C592">
        <f>(Prices!C668/Prices!C667)-1</f>
        <v>-5.7011679826443062E-3</v>
      </c>
      <c r="D592">
        <f>(Prices!D668/Prices!D667)-1</f>
        <v>-2.4734982332155542E-2</v>
      </c>
      <c r="E592">
        <f>(Prices!E668/Prices!E667)-1</f>
        <v>-1.4077640319337004E-2</v>
      </c>
      <c r="F592">
        <f>(Prices!F668/Prices!F667)-1</f>
        <v>4.0178091325575815E-2</v>
      </c>
      <c r="G592">
        <f t="shared" si="36"/>
        <v>-5.0415615580695402E-3</v>
      </c>
      <c r="H592" s="8">
        <f t="shared" si="39"/>
        <v>770585.27814684098</v>
      </c>
      <c r="I592" s="8">
        <f t="shared" si="37"/>
        <v>1067100.1647020529</v>
      </c>
      <c r="J592" s="13">
        <f t="shared" si="38"/>
        <v>-0.27786977864257234</v>
      </c>
    </row>
    <row r="593" spans="1:10" x14ac:dyDescent="0.25">
      <c r="A593" s="6">
        <v>45317</v>
      </c>
      <c r="B593">
        <f>(Prices!B667/Prices!B666)-1</f>
        <v>-2.1225789334040623E-3</v>
      </c>
      <c r="C593">
        <f>(Prices!C667/Prices!C666)-1</f>
        <v>2.3262282232168197E-3</v>
      </c>
      <c r="D593">
        <f>(Prices!D667/Prices!D666)-1</f>
        <v>-8.4934706444420582E-3</v>
      </c>
      <c r="E593">
        <f>(Prices!E667/Prices!E666)-1</f>
        <v>3.7927448461492208E-3</v>
      </c>
      <c r="F593">
        <f>(Prices!F667/Prices!F666)-1</f>
        <v>-1.9466003036949564E-2</v>
      </c>
      <c r="G593">
        <f t="shared" si="36"/>
        <v>-4.792615909085929E-3</v>
      </c>
      <c r="H593" s="8">
        <f t="shared" si="39"/>
        <v>766892.15888348699</v>
      </c>
      <c r="I593" s="8">
        <f t="shared" si="37"/>
        <v>1067100.1647020529</v>
      </c>
      <c r="J593" s="13">
        <f t="shared" si="38"/>
        <v>-0.28133067142988177</v>
      </c>
    </row>
    <row r="594" spans="1:10" x14ac:dyDescent="0.25">
      <c r="A594" s="5">
        <v>45320</v>
      </c>
      <c r="B594">
        <f>(Prices!B666/Prices!B665)-1</f>
        <v>-8.5492568722873585E-3</v>
      </c>
      <c r="C594">
        <f>(Prices!C666/Prices!C665)-1</f>
        <v>-1.4134011367035626E-2</v>
      </c>
      <c r="D594">
        <f>(Prices!D666/Prices!D665)-1</f>
        <v>-1.2723995334535942E-3</v>
      </c>
      <c r="E594">
        <f>(Prices!E666/Prices!E665)-1</f>
        <v>-2.6235509456986605E-3</v>
      </c>
      <c r="F594">
        <f>(Prices!F666/Prices!F665)-1</f>
        <v>-2.650288166253012E-3</v>
      </c>
      <c r="G594">
        <f t="shared" si="36"/>
        <v>-5.8459013769456506E-3</v>
      </c>
      <c r="H594" s="8">
        <f t="shared" si="39"/>
        <v>762408.98295590119</v>
      </c>
      <c r="I594" s="8">
        <f t="shared" si="37"/>
        <v>1067100.1647020529</v>
      </c>
      <c r="J594" s="13">
        <f t="shared" si="38"/>
        <v>-0.2855319414473384</v>
      </c>
    </row>
    <row r="595" spans="1:10" x14ac:dyDescent="0.25">
      <c r="A595" s="6">
        <v>45321</v>
      </c>
      <c r="B595">
        <f>(Prices!B665/Prices!B664)-1</f>
        <v>1.3530627207891666E-2</v>
      </c>
      <c r="C595">
        <f>(Prices!C665/Prices!C664)-1</f>
        <v>2.7746531683539022E-3</v>
      </c>
      <c r="D595">
        <f>(Prices!D665/Prices!D664)-1</f>
        <v>-1.6374634960367063E-2</v>
      </c>
      <c r="E595">
        <f>(Prices!E665/Prices!E664)-1</f>
        <v>-2.0029895366218242E-2</v>
      </c>
      <c r="F595">
        <f>(Prices!F665/Prices!F664)-1</f>
        <v>1.8333157728374072E-3</v>
      </c>
      <c r="G595">
        <f t="shared" si="36"/>
        <v>-3.6531868355004671E-3</v>
      </c>
      <c r="H595" s="8">
        <f t="shared" si="39"/>
        <v>759623.76049609948</v>
      </c>
      <c r="I595" s="8">
        <f t="shared" si="37"/>
        <v>1067100.1647020529</v>
      </c>
      <c r="J595" s="13">
        <f t="shared" si="38"/>
        <v>-0.28814202675322848</v>
      </c>
    </row>
    <row r="596" spans="1:10" x14ac:dyDescent="0.25">
      <c r="A596" s="5">
        <v>45322</v>
      </c>
      <c r="B596">
        <f>(Prices!B664/Prices!B663)-1</f>
        <v>8.1063553826199675E-2</v>
      </c>
      <c r="C596">
        <f>(Prices!C664/Prices!C663)-1</f>
        <v>2.76928609962237E-2</v>
      </c>
      <c r="D596">
        <f>(Prices!D664/Prices!D663)-1</f>
        <v>1.9891500904158921E-2</v>
      </c>
      <c r="E596">
        <f>(Prices!E664/Prices!E663)-1</f>
        <v>1.0940522243713779E-2</v>
      </c>
      <c r="F596">
        <f>(Prices!F664/Prices!F663)-1</f>
        <v>-1.5885195246884032E-2</v>
      </c>
      <c r="G596">
        <f t="shared" si="36"/>
        <v>2.4740648544682407E-2</v>
      </c>
      <c r="H596" s="8">
        <f t="shared" si="39"/>
        <v>778417.34498072346</v>
      </c>
      <c r="I596" s="8">
        <f t="shared" si="37"/>
        <v>1067100.1647020529</v>
      </c>
      <c r="J596" s="13">
        <f t="shared" si="38"/>
        <v>-0.27053019882340018</v>
      </c>
    </row>
    <row r="597" spans="1:10" x14ac:dyDescent="0.25">
      <c r="A597" s="6">
        <v>45323</v>
      </c>
      <c r="B597">
        <f>(Prices!B663/Prices!B662)-1</f>
        <v>-7.5091182149754632E-3</v>
      </c>
      <c r="C597">
        <f>(Prices!C663/Prices!C662)-1</f>
        <v>-1.5353872615976094E-2</v>
      </c>
      <c r="D597">
        <f>(Prices!D663/Prices!D662)-1</f>
        <v>4.05852824949271E-3</v>
      </c>
      <c r="E597">
        <f>(Prices!E663/Prices!E662)-1</f>
        <v>3.6398932297985187E-3</v>
      </c>
      <c r="F597">
        <f>(Prices!F663/Prices!F662)-1</f>
        <v>9.0819678992193342E-3</v>
      </c>
      <c r="G597">
        <f t="shared" si="36"/>
        <v>-1.2165202904881995E-3</v>
      </c>
      <c r="H597" s="8">
        <f t="shared" si="39"/>
        <v>777470.38448608643</v>
      </c>
      <c r="I597" s="8">
        <f t="shared" si="37"/>
        <v>1067100.1647020529</v>
      </c>
      <c r="J597" s="13">
        <f t="shared" si="38"/>
        <v>-0.27141761363782996</v>
      </c>
    </row>
    <row r="598" spans="1:10" x14ac:dyDescent="0.25">
      <c r="A598" s="5">
        <v>45324</v>
      </c>
      <c r="B598">
        <f>(Prices!B662/Prices!B661)-1</f>
        <v>-8.5791264889392149E-3</v>
      </c>
      <c r="C598">
        <f>(Prices!C662/Prices!C661)-1</f>
        <v>-1.8081565744374473E-2</v>
      </c>
      <c r="D598">
        <f>(Prices!D662/Prices!D661)-1</f>
        <v>4.1827541827541559E-3</v>
      </c>
      <c r="E598">
        <f>(Prices!E662/Prices!E661)-1</f>
        <v>-5.7301405392362614E-3</v>
      </c>
      <c r="F598">
        <f>(Prices!F662/Prices!F661)-1</f>
        <v>-6.0526644203169333E-3</v>
      </c>
      <c r="G598">
        <f t="shared" si="36"/>
        <v>-6.8521486020225453E-3</v>
      </c>
      <c r="H598" s="8">
        <f t="shared" si="39"/>
        <v>772143.0418779162</v>
      </c>
      <c r="I598" s="8">
        <f t="shared" si="37"/>
        <v>1067100.1647020529</v>
      </c>
      <c r="J598" s="13">
        <f t="shared" si="38"/>
        <v>-0.2764099684179997</v>
      </c>
    </row>
    <row r="599" spans="1:10" x14ac:dyDescent="0.25">
      <c r="A599" s="6">
        <v>45327</v>
      </c>
      <c r="B599">
        <f>(Prices!B661/Prices!B660)-1</f>
        <v>-9.0634441087614759E-3</v>
      </c>
      <c r="C599">
        <f>(Prices!C661/Prices!C660)-1</f>
        <v>1.3722083742478075E-2</v>
      </c>
      <c r="D599">
        <f>(Prices!D661/Prices!D660)-1</f>
        <v>4.0921817790220416E-3</v>
      </c>
      <c r="E599">
        <f>(Prices!E661/Prices!E660)-1</f>
        <v>1.2682691146272962E-3</v>
      </c>
      <c r="F599">
        <f>(Prices!F661/Prices!F660)-1</f>
        <v>1.4453611292806867E-2</v>
      </c>
      <c r="G599">
        <f t="shared" si="36"/>
        <v>4.8945403640345614E-3</v>
      </c>
      <c r="H599" s="8">
        <f t="shared" si="39"/>
        <v>775922.32716319605</v>
      </c>
      <c r="I599" s="8">
        <f t="shared" si="37"/>
        <v>1067100.1647020529</v>
      </c>
      <c r="J599" s="13">
        <f t="shared" si="38"/>
        <v>-0.27286832780140863</v>
      </c>
    </row>
    <row r="600" spans="1:10" x14ac:dyDescent="0.25">
      <c r="A600" s="5">
        <v>45328</v>
      </c>
      <c r="B600">
        <f>(Prices!B660/Prices!B659)-1</f>
        <v>-2.8723553313716454E-3</v>
      </c>
      <c r="C600">
        <f>(Prices!C660/Prices!C659)-1</f>
        <v>4.0301251857632892E-4</v>
      </c>
      <c r="D600">
        <f>(Prices!D660/Prices!D659)-1</f>
        <v>-6.8449197860962485E-3</v>
      </c>
      <c r="E600">
        <f>(Prices!E660/Prices!E659)-1</f>
        <v>-3.370651257975088E-3</v>
      </c>
      <c r="F600">
        <f>(Prices!F660/Prices!F659)-1</f>
        <v>-1.5108063175394815E-2</v>
      </c>
      <c r="G600">
        <f t="shared" si="36"/>
        <v>-5.5585954064522941E-3</v>
      </c>
      <c r="H600" s="8">
        <f t="shared" si="39"/>
        <v>771609.28887966287</v>
      </c>
      <c r="I600" s="8">
        <f t="shared" si="37"/>
        <v>1067100.1647020529</v>
      </c>
      <c r="J600" s="13">
        <f t="shared" si="38"/>
        <v>-0.27691015857437773</v>
      </c>
    </row>
    <row r="601" spans="1:10" x14ac:dyDescent="0.25">
      <c r="A601" s="6">
        <v>45329</v>
      </c>
      <c r="B601">
        <f>(Prices!B659/Prices!B658)-1</f>
        <v>-9.918845807033172E-3</v>
      </c>
      <c r="C601">
        <f>(Prices!C659/Prices!C658)-1</f>
        <v>-2.0695609274790305E-2</v>
      </c>
      <c r="D601">
        <f>(Prices!D659/Prices!D658)-1</f>
        <v>3.2095859634106993E-4</v>
      </c>
      <c r="E601">
        <f>(Prices!E659/Prices!E658)-1</f>
        <v>-1.9223837558574042E-3</v>
      </c>
      <c r="F601">
        <f>(Prices!F659/Prices!F658)-1</f>
        <v>-1.6795390462179816E-2</v>
      </c>
      <c r="G601">
        <f t="shared" si="36"/>
        <v>-9.802254140703924E-3</v>
      </c>
      <c r="H601" s="8">
        <f t="shared" si="39"/>
        <v>764045.77853273659</v>
      </c>
      <c r="I601" s="8">
        <f t="shared" si="37"/>
        <v>1067100.1647020529</v>
      </c>
      <c r="J601" s="13">
        <f t="shared" si="38"/>
        <v>-0.28399806896659296</v>
      </c>
    </row>
    <row r="602" spans="1:10" x14ac:dyDescent="0.25">
      <c r="A602" s="5">
        <v>45330</v>
      </c>
      <c r="B602">
        <f>(Prices!B658/Prices!B657)-1</f>
        <v>-2.4908323531447341E-3</v>
      </c>
      <c r="C602">
        <f>(Prices!C658/Prices!C657)-1</f>
        <v>-1.2331976815882495E-4</v>
      </c>
      <c r="D602">
        <f>(Prices!D658/Prices!D657)-1</f>
        <v>-1.6829704428315884E-2</v>
      </c>
      <c r="E602">
        <f>(Prices!E658/Prices!E657)-1</f>
        <v>3.6175087423127028E-3</v>
      </c>
      <c r="F602">
        <f>(Prices!F658/Prices!F657)-1</f>
        <v>-1.3467189030361704E-3</v>
      </c>
      <c r="G602">
        <f t="shared" si="36"/>
        <v>-3.4346133420685822E-3</v>
      </c>
      <c r="H602" s="8">
        <f t="shared" si="39"/>
        <v>761421.57670783682</v>
      </c>
      <c r="I602" s="8">
        <f t="shared" si="37"/>
        <v>1067100.1647020529</v>
      </c>
      <c r="J602" s="13">
        <f t="shared" si="38"/>
        <v>-0.28645725875186723</v>
      </c>
    </row>
    <row r="603" spans="1:10" x14ac:dyDescent="0.25">
      <c r="A603" s="6">
        <v>45331</v>
      </c>
      <c r="B603">
        <f>(Prices!B657/Prices!B656)-1</f>
        <v>-2.079945799457994E-2</v>
      </c>
      <c r="C603">
        <f>(Prices!C657/Prices!C656)-1</f>
        <v>-1.5324460850981159E-2</v>
      </c>
      <c r="D603">
        <f>(Prices!D657/Prices!D656)-1</f>
        <v>2.159896840747888E-2</v>
      </c>
      <c r="E603">
        <f>(Prices!E657/Prices!E656)-1</f>
        <v>-1.2043839576055815E-3</v>
      </c>
      <c r="F603">
        <f>(Prices!F657/Prices!F656)-1</f>
        <v>3.6247465749217334E-3</v>
      </c>
      <c r="G603">
        <f t="shared" si="36"/>
        <v>-2.4209175641532127E-3</v>
      </c>
      <c r="H603" s="8">
        <f t="shared" si="39"/>
        <v>759578.23783905955</v>
      </c>
      <c r="I603" s="8">
        <f t="shared" si="37"/>
        <v>1067100.1647020529</v>
      </c>
      <c r="J603" s="13">
        <f t="shared" si="38"/>
        <v>-0.28818468690692889</v>
      </c>
    </row>
    <row r="604" spans="1:10" x14ac:dyDescent="0.25">
      <c r="A604" s="5">
        <v>45334</v>
      </c>
      <c r="B604">
        <f>(Prices!B656/Prices!B655)-1</f>
        <v>9.9904201450664587E-3</v>
      </c>
      <c r="C604">
        <f>(Prices!C656/Prices!C655)-1</f>
        <v>1.274042008952736E-2</v>
      </c>
      <c r="D604">
        <f>(Prices!D656/Prices!D655)-1</f>
        <v>-1.3567945728217068E-2</v>
      </c>
      <c r="E604">
        <f>(Prices!E656/Prices!E655)-1</f>
        <v>-4.4364508393286428E-3</v>
      </c>
      <c r="F604">
        <f>(Prices!F656/Prices!F655)-1</f>
        <v>1.1070791561598181E-3</v>
      </c>
      <c r="G604">
        <f t="shared" si="36"/>
        <v>1.166704564641585E-3</v>
      </c>
      <c r="H604" s="8">
        <f t="shared" si="39"/>
        <v>760464.44123634871</v>
      </c>
      <c r="I604" s="8">
        <f t="shared" si="37"/>
        <v>1067100.1647020529</v>
      </c>
      <c r="J604" s="13">
        <f t="shared" si="38"/>
        <v>-0.28735420873196155</v>
      </c>
    </row>
    <row r="605" spans="1:10" x14ac:dyDescent="0.25">
      <c r="A605" s="6">
        <v>45335</v>
      </c>
      <c r="B605">
        <f>(Prices!B655/Prices!B654)-1</f>
        <v>1.6484663003408118E-2</v>
      </c>
      <c r="C605">
        <f>(Prices!C655/Prices!C654)-1</f>
        <v>2.1994319181559918E-2</v>
      </c>
      <c r="D605">
        <f>(Prices!D655/Prices!D654)-1</f>
        <v>8.6603228910511199E-3</v>
      </c>
      <c r="E605">
        <f>(Prices!E655/Prices!E654)-1</f>
        <v>8.7692772905958449E-3</v>
      </c>
      <c r="F605">
        <f>(Prices!F655/Prices!F654)-1</f>
        <v>1.5399778243192497E-3</v>
      </c>
      <c r="G605">
        <f t="shared" si="36"/>
        <v>1.1489712038186852E-2</v>
      </c>
      <c r="H605" s="8">
        <f t="shared" si="39"/>
        <v>769201.95868143509</v>
      </c>
      <c r="I605" s="8">
        <f t="shared" si="37"/>
        <v>1067100.1647020529</v>
      </c>
      <c r="J605" s="13">
        <f t="shared" si="38"/>
        <v>-0.2791661138050659</v>
      </c>
    </row>
    <row r="606" spans="1:10" x14ac:dyDescent="0.25">
      <c r="A606" s="5">
        <v>45336</v>
      </c>
      <c r="B606">
        <f>(Prices!B654/Prices!B653)-1</f>
        <v>-5.464858882125001E-3</v>
      </c>
      <c r="C606">
        <f>(Prices!C654/Prices!C653)-1</f>
        <v>-9.5600866382852256E-3</v>
      </c>
      <c r="D606">
        <f>(Prices!D654/Prices!D653)-1</f>
        <v>4.942516385516349E-3</v>
      </c>
      <c r="E606">
        <f>(Prices!E654/Prices!E653)-1</f>
        <v>-1.0058073399988099E-2</v>
      </c>
      <c r="F606">
        <f>(Prices!F654/Prices!F653)-1</f>
        <v>-1.847631951715778E-4</v>
      </c>
      <c r="G606">
        <f t="shared" si="36"/>
        <v>-4.0650531460107112E-3</v>
      </c>
      <c r="H606" s="8">
        <f t="shared" si="39"/>
        <v>766075.11183937953</v>
      </c>
      <c r="I606" s="8">
        <f t="shared" si="37"/>
        <v>1067100.1647020529</v>
      </c>
      <c r="J606" s="13">
        <f t="shared" si="38"/>
        <v>-0.2820963418618937</v>
      </c>
    </row>
    <row r="607" spans="1:10" x14ac:dyDescent="0.25">
      <c r="A607" s="6">
        <v>45337</v>
      </c>
      <c r="B607">
        <f>(Prices!B653/Prices!B652)-1</f>
        <v>2.2203365860557378E-2</v>
      </c>
      <c r="C607">
        <f>(Prices!C653/Prices!C652)-1</f>
        <v>7.1965897693080372E-3</v>
      </c>
      <c r="D607">
        <f>(Prices!D653/Prices!D652)-1</f>
        <v>-2.7888030081470672E-2</v>
      </c>
      <c r="E607">
        <f>(Prices!E653/Prices!E652)-1</f>
        <v>-2.1327708443194426E-2</v>
      </c>
      <c r="F607">
        <f>(Prices!F653/Prices!F652)-1</f>
        <v>-7.558779185852238E-3</v>
      </c>
      <c r="G607">
        <f t="shared" si="36"/>
        <v>-5.4749124161303847E-3</v>
      </c>
      <c r="H607" s="8">
        <f t="shared" si="39"/>
        <v>761880.91769788158</v>
      </c>
      <c r="I607" s="8">
        <f t="shared" si="37"/>
        <v>1067100.1647020529</v>
      </c>
      <c r="J607" s="13">
        <f t="shared" si="38"/>
        <v>-0.28602680151341953</v>
      </c>
    </row>
    <row r="608" spans="1:10" x14ac:dyDescent="0.25">
      <c r="A608" s="5">
        <v>45338</v>
      </c>
      <c r="B608">
        <f>(Prices!B652/Prices!B651)-1</f>
        <v>1.5948275862069039E-2</v>
      </c>
      <c r="C608">
        <f>(Prices!C652/Prices!C651)-1</f>
        <v>6.1814053235775823E-3</v>
      </c>
      <c r="D608">
        <f>(Prices!D652/Prices!D651)-1</f>
        <v>0</v>
      </c>
      <c r="E608">
        <f>(Prices!E652/Prices!E651)-1</f>
        <v>4.7094837228467412E-3</v>
      </c>
      <c r="F608">
        <f>(Prices!F652/Prices!F651)-1</f>
        <v>-1.2819208464747156E-3</v>
      </c>
      <c r="G608">
        <f t="shared" si="36"/>
        <v>5.1114488124037304E-3</v>
      </c>
      <c r="H608" s="8">
        <f t="shared" si="39"/>
        <v>765775.23300984153</v>
      </c>
      <c r="I608" s="8">
        <f t="shared" si="37"/>
        <v>1067100.1647020529</v>
      </c>
      <c r="J608" s="13">
        <f t="shared" si="38"/>
        <v>-0.28237736405592717</v>
      </c>
    </row>
    <row r="609" spans="1:10" x14ac:dyDescent="0.25">
      <c r="A609" s="6">
        <v>45342</v>
      </c>
      <c r="B609">
        <f>(Prices!B651/Prices!B650)-1</f>
        <v>-4.2206166392445565E-3</v>
      </c>
      <c r="C609">
        <f>(Prices!C651/Prices!C650)-1</f>
        <v>3.1637560111363872E-3</v>
      </c>
      <c r="D609">
        <f>(Prices!D651/Prices!D650)-1</f>
        <v>9.5961193715068394E-3</v>
      </c>
      <c r="E609">
        <f>(Prices!E651/Prices!E650)-1</f>
        <v>-3.9286970798638743E-3</v>
      </c>
      <c r="F609">
        <f>(Prices!F651/Prices!F650)-1</f>
        <v>9.3688262490077001E-4</v>
      </c>
      <c r="G609">
        <f t="shared" si="36"/>
        <v>1.109488857687113E-3</v>
      </c>
      <c r="H609" s="8">
        <f t="shared" si="39"/>
        <v>766624.85209835868</v>
      </c>
      <c r="I609" s="8">
        <f t="shared" si="37"/>
        <v>1067100.1647020529</v>
      </c>
      <c r="J609" s="13">
        <f t="shared" si="38"/>
        <v>-0.28158116973732317</v>
      </c>
    </row>
    <row r="610" spans="1:10" x14ac:dyDescent="0.25">
      <c r="A610" s="5">
        <v>45343</v>
      </c>
      <c r="B610">
        <f>(Prices!B650/Prices!B649)-1</f>
        <v>-1.0055945046384962E-2</v>
      </c>
      <c r="C610">
        <f>(Prices!C650/Prices!C649)-1</f>
        <v>1.5209125475286189E-3</v>
      </c>
      <c r="D610">
        <f>(Prices!D650/Prices!D649)-1</f>
        <v>-2.0047535393200366E-2</v>
      </c>
      <c r="E610">
        <f>(Prices!E650/Prices!E649)-1</f>
        <v>-6.4666472473056125E-3</v>
      </c>
      <c r="F610">
        <f>(Prices!F650/Prices!F649)-1</f>
        <v>-1.7485005591135749E-3</v>
      </c>
      <c r="G610">
        <f t="shared" si="36"/>
        <v>-7.3595431396951795E-3</v>
      </c>
      <c r="H610" s="8">
        <f t="shared" si="39"/>
        <v>760982.84342737834</v>
      </c>
      <c r="I610" s="8">
        <f t="shared" si="37"/>
        <v>1067100.1647020529</v>
      </c>
      <c r="J610" s="13">
        <f t="shared" si="38"/>
        <v>-0.28686840411101072</v>
      </c>
    </row>
    <row r="611" spans="1:10" x14ac:dyDescent="0.25">
      <c r="A611" s="6">
        <v>45344</v>
      </c>
      <c r="B611">
        <f>(Prices!B649/Prices!B648)-1</f>
        <v>-1.0649478035451465E-2</v>
      </c>
      <c r="C611">
        <f>(Prices!C649/Prices!C648)-1</f>
        <v>-2.3007008593575962E-2</v>
      </c>
      <c r="D611">
        <f>(Prices!D649/Prices!D648)-1</f>
        <v>8.2738649291558275E-4</v>
      </c>
      <c r="E611">
        <f>(Prices!E649/Prices!E648)-1</f>
        <v>-1.1858845201773049E-2</v>
      </c>
      <c r="F611">
        <f>(Prices!F649/Prices!F648)-1</f>
        <v>-8.6067886801579618E-3</v>
      </c>
      <c r="G611">
        <f t="shared" si="36"/>
        <v>-1.0658946803608573E-2</v>
      </c>
      <c r="H611" s="8">
        <f t="shared" si="39"/>
        <v>752871.56778082717</v>
      </c>
      <c r="I611" s="8">
        <f t="shared" si="37"/>
        <v>1067100.1647020529</v>
      </c>
      <c r="J611" s="13">
        <f t="shared" si="38"/>
        <v>-0.2944696358555639</v>
      </c>
    </row>
    <row r="612" spans="1:10" x14ac:dyDescent="0.25">
      <c r="A612" s="5">
        <v>45345</v>
      </c>
      <c r="B612">
        <f>(Prices!B648/Prices!B647)-1</f>
        <v>9.1164095371665255E-4</v>
      </c>
      <c r="C612">
        <f>(Prices!C648/Prices!C647)-1</f>
        <v>3.1800452162680237E-3</v>
      </c>
      <c r="D612">
        <f>(Prices!D648/Prices!D647)-1</f>
        <v>8.8689482470785119E-3</v>
      </c>
      <c r="E612">
        <f>(Prices!E648/Prices!E647)-1</f>
        <v>-4.983388704318914E-3</v>
      </c>
      <c r="F612">
        <f>(Prices!F648/Prices!F647)-1</f>
        <v>-1.3888609327509238E-3</v>
      </c>
      <c r="G612">
        <f t="shared" si="36"/>
        <v>1.3176769559986698E-3</v>
      </c>
      <c r="H612" s="8">
        <f t="shared" si="39"/>
        <v>753863.60929651849</v>
      </c>
      <c r="I612" s="8">
        <f t="shared" si="37"/>
        <v>1067100.1647020529</v>
      </c>
      <c r="J612" s="13">
        <f t="shared" si="38"/>
        <v>-0.29353997475297344</v>
      </c>
    </row>
    <row r="613" spans="1:10" x14ac:dyDescent="0.25">
      <c r="A613" s="6">
        <v>45348</v>
      </c>
      <c r="B613">
        <f>(Prices!B647/Prices!B646)-1</f>
        <v>4.6451896969252005E-2</v>
      </c>
      <c r="C613">
        <f>(Prices!C647/Prices!C646)-1</f>
        <v>6.8791274764858912E-3</v>
      </c>
      <c r="D613">
        <f>(Prices!D647/Prices!D646)-1</f>
        <v>-3.9492828933692659E-3</v>
      </c>
      <c r="E613">
        <f>(Prices!E647/Prices!E646)-1</f>
        <v>3.4486722611795084E-3</v>
      </c>
      <c r="F613">
        <f>(Prices!F647/Prices!F646)-1</f>
        <v>3.6565656565656912E-3</v>
      </c>
      <c r="G613">
        <f t="shared" si="36"/>
        <v>1.1297395894022767E-2</v>
      </c>
      <c r="H613" s="8">
        <f t="shared" si="39"/>
        <v>762380.30494083813</v>
      </c>
      <c r="I613" s="8">
        <f t="shared" si="37"/>
        <v>1067100.1647020529</v>
      </c>
      <c r="J613" s="13">
        <f t="shared" si="38"/>
        <v>-0.2855588161644565</v>
      </c>
    </row>
    <row r="614" spans="1:10" x14ac:dyDescent="0.25">
      <c r="A614" s="5">
        <v>45349</v>
      </c>
      <c r="B614">
        <f>(Prices!B646/Prices!B645)-1</f>
        <v>-9.4497346805261229E-3</v>
      </c>
      <c r="C614">
        <f>(Prices!C646/Prices!C645)-1</f>
        <v>1.501125844383111E-4</v>
      </c>
      <c r="D614">
        <f>(Prices!D646/Prices!D645)-1</f>
        <v>2.1872721591500444E-3</v>
      </c>
      <c r="E614">
        <f>(Prices!E646/Prices!E645)-1</f>
        <v>-5.1703337737696309E-4</v>
      </c>
      <c r="F614">
        <f>(Prices!F646/Prices!F645)-1</f>
        <v>2.3171210649248541E-2</v>
      </c>
      <c r="G614">
        <f t="shared" si="36"/>
        <v>3.1083654669867627E-3</v>
      </c>
      <c r="H614" s="8">
        <f t="shared" si="39"/>
        <v>764750.06155342713</v>
      </c>
      <c r="I614" s="8">
        <f t="shared" si="37"/>
        <v>1067100.1647020529</v>
      </c>
      <c r="J614" s="13">
        <f t="shared" si="38"/>
        <v>-0.28333807186042892</v>
      </c>
    </row>
    <row r="615" spans="1:10" x14ac:dyDescent="0.25">
      <c r="A615" s="6">
        <v>45350</v>
      </c>
      <c r="B615">
        <f>(Prices!B645/Prices!B644)-1</f>
        <v>1.8358131615959561E-2</v>
      </c>
      <c r="C615">
        <f>(Prices!C645/Prices!C644)-1</f>
        <v>-6.0009001350203039E-4</v>
      </c>
      <c r="D615">
        <f>(Prices!D645/Prices!D644)-1</f>
        <v>-2.8043207312006269E-3</v>
      </c>
      <c r="E615">
        <f>(Prices!E645/Prices!E644)-1</f>
        <v>-5.030008573878253E-3</v>
      </c>
      <c r="F615">
        <f>(Prices!F645/Prices!F644)-1</f>
        <v>3.0392741523257882E-2</v>
      </c>
      <c r="G615">
        <f t="shared" si="36"/>
        <v>8.0632907641273073E-3</v>
      </c>
      <c r="H615" s="8">
        <f t="shared" si="39"/>
        <v>770916.46366161667</v>
      </c>
      <c r="I615" s="8">
        <f t="shared" si="37"/>
        <v>1067100.1647020529</v>
      </c>
      <c r="J615" s="13">
        <f t="shared" si="38"/>
        <v>-0.27755941835425946</v>
      </c>
    </row>
    <row r="616" spans="1:10" x14ac:dyDescent="0.25">
      <c r="A616" s="5">
        <v>45351</v>
      </c>
      <c r="B616">
        <f>(Prices!B644/Prices!B643)-1</f>
        <v>-1.5020051039008386E-2</v>
      </c>
      <c r="C616">
        <f>(Prices!C644/Prices!C643)-1</f>
        <v>-1.4294868635086555E-2</v>
      </c>
      <c r="D616">
        <f>(Prices!D644/Prices!D643)-1</f>
        <v>-1.9695242044158734E-3</v>
      </c>
      <c r="E616">
        <f>(Prices!E644/Prices!E643)-1</f>
        <v>-9.0064574600656755E-3</v>
      </c>
      <c r="F616">
        <f>(Prices!F644/Prices!F643)-1</f>
        <v>9.4816280019780486E-3</v>
      </c>
      <c r="G616">
        <f t="shared" si="36"/>
        <v>-6.1618546673196878E-3</v>
      </c>
      <c r="H616" s="8">
        <f t="shared" si="39"/>
        <v>766166.18845188979</v>
      </c>
      <c r="I616" s="8">
        <f t="shared" si="37"/>
        <v>1067100.1647020529</v>
      </c>
      <c r="J616" s="13">
        <f t="shared" si="38"/>
        <v>-0.28201099222413439</v>
      </c>
    </row>
    <row r="617" spans="1:10" x14ac:dyDescent="0.25">
      <c r="A617" s="6">
        <v>45352</v>
      </c>
      <c r="B617">
        <f>(Prices!B643/Prices!B642)-1</f>
        <v>9.5693779904306719E-3</v>
      </c>
      <c r="C617">
        <f>(Prices!C643/Prices!C642)-1</f>
        <v>-4.4900262531589741E-3</v>
      </c>
      <c r="D617">
        <f>(Prices!D643/Prices!D642)-1</f>
        <v>-1.2387387387387427E-2</v>
      </c>
      <c r="E617">
        <f>(Prices!E643/Prices!E642)-1</f>
        <v>4.1522097719128848E-3</v>
      </c>
      <c r="F617">
        <f>(Prices!F643/Prices!F642)-1</f>
        <v>8.3029830038154895E-3</v>
      </c>
      <c r="G617">
        <f t="shared" si="36"/>
        <v>1.0294314251225289E-3</v>
      </c>
      <c r="H617" s="8">
        <f t="shared" si="39"/>
        <v>766954.90400314843</v>
      </c>
      <c r="I617" s="8">
        <f t="shared" si="37"/>
        <v>1067100.1647020529</v>
      </c>
      <c r="J617" s="13">
        <f t="shared" si="38"/>
        <v>-0.28127187177663743</v>
      </c>
    </row>
    <row r="618" spans="1:10" x14ac:dyDescent="0.25">
      <c r="A618" s="5">
        <v>45355</v>
      </c>
      <c r="B618">
        <f>(Prices!B642/Prices!B641)-1</f>
        <v>2.8465440230146077E-2</v>
      </c>
      <c r="C618">
        <f>(Prices!C642/Prices!C641)-1</f>
        <v>1.400491400491477E-3</v>
      </c>
      <c r="D618">
        <f>(Prices!D642/Prices!D641)-1</f>
        <v>1.4119601328903775E-2</v>
      </c>
      <c r="E618">
        <f>(Prices!E642/Prices!E641)-1</f>
        <v>-7.4521537853553532E-3</v>
      </c>
      <c r="F618">
        <f>(Prices!F642/Prices!F641)-1</f>
        <v>1.5900982249041906E-2</v>
      </c>
      <c r="G618">
        <f t="shared" si="36"/>
        <v>1.0486872284645576E-2</v>
      </c>
      <c r="H618" s="8">
        <f t="shared" si="39"/>
        <v>774997.86212951213</v>
      </c>
      <c r="I618" s="8">
        <f t="shared" si="37"/>
        <v>1067100.1647020529</v>
      </c>
      <c r="J618" s="13">
        <f t="shared" si="38"/>
        <v>-0.27373466168857657</v>
      </c>
    </row>
    <row r="619" spans="1:10" x14ac:dyDescent="0.25">
      <c r="A619" s="6">
        <v>45356</v>
      </c>
      <c r="B619">
        <f>(Prices!B641/Prices!B640)-1</f>
        <v>5.0981585755593972E-3</v>
      </c>
      <c r="C619">
        <f>(Prices!C641/Prices!C640)-1</f>
        <v>3.0484099655661456E-2</v>
      </c>
      <c r="D619">
        <f>(Prices!D641/Prices!D640)-1</f>
        <v>-1.2102564102564162E-2</v>
      </c>
      <c r="E619">
        <f>(Prices!E641/Prices!E640)-1</f>
        <v>-9.9491364373148761E-3</v>
      </c>
      <c r="F619">
        <f>(Prices!F641/Prices!F640)-1</f>
        <v>1.8437107482504933E-2</v>
      </c>
      <c r="G619">
        <f t="shared" si="36"/>
        <v>6.3935330347693504E-3</v>
      </c>
      <c r="H619" s="8">
        <f t="shared" si="39"/>
        <v>779952.83656291279</v>
      </c>
      <c r="I619" s="8">
        <f t="shared" si="37"/>
        <v>1067100.1647020529</v>
      </c>
      <c r="J619" s="13">
        <f t="shared" si="38"/>
        <v>-0.26909126025607455</v>
      </c>
    </row>
    <row r="620" spans="1:10" x14ac:dyDescent="0.25">
      <c r="A620" s="5">
        <v>45357</v>
      </c>
      <c r="B620">
        <f>(Prices!B640/Prices!B639)-1</f>
        <v>9.6803933620159821E-3</v>
      </c>
      <c r="C620">
        <f>(Prices!C640/Prices!C639)-1</f>
        <v>1.3944879693719159E-3</v>
      </c>
      <c r="D620">
        <f>(Prices!D640/Prices!D639)-1</f>
        <v>-1.0554089709762571E-2</v>
      </c>
      <c r="E620">
        <f>(Prices!E640/Prices!E639)-1</f>
        <v>-5.1712633451957979E-3</v>
      </c>
      <c r="F620">
        <f>(Prices!F640/Prices!F639)-1</f>
        <v>1.1452181528304184E-3</v>
      </c>
      <c r="G620">
        <f t="shared" si="36"/>
        <v>-7.0105071414801085E-4</v>
      </c>
      <c r="H620" s="8">
        <f t="shared" si="39"/>
        <v>779406.05006983853</v>
      </c>
      <c r="I620" s="8">
        <f t="shared" si="37"/>
        <v>1067100.1647020529</v>
      </c>
      <c r="J620" s="13">
        <f t="shared" si="38"/>
        <v>-0.26960366435004912</v>
      </c>
    </row>
    <row r="621" spans="1:10" x14ac:dyDescent="0.25">
      <c r="A621" s="6">
        <v>45358</v>
      </c>
      <c r="B621">
        <f>(Prices!B639/Prices!B638)-1</f>
        <v>-2.2162121553602421E-2</v>
      </c>
      <c r="C621">
        <f>(Prices!C639/Prices!C638)-1</f>
        <v>-1.7242668128472749E-2</v>
      </c>
      <c r="D621">
        <f>(Prices!D639/Prices!D638)-1</f>
        <v>-5.6508577194751552E-3</v>
      </c>
      <c r="E621">
        <f>(Prices!E639/Prices!E638)-1</f>
        <v>8.8634578705262257E-3</v>
      </c>
      <c r="F621">
        <f>(Prices!F639/Prices!F638)-1</f>
        <v>-1.2900365732018138E-2</v>
      </c>
      <c r="G621">
        <f t="shared" si="36"/>
        <v>-9.8185110526084474E-3</v>
      </c>
      <c r="H621" s="8">
        <f t="shared" si="39"/>
        <v>771753.44315275794</v>
      </c>
      <c r="I621" s="8">
        <f t="shared" si="37"/>
        <v>1067100.1647020529</v>
      </c>
      <c r="J621" s="13">
        <f t="shared" si="38"/>
        <v>-0.27677506884441289</v>
      </c>
    </row>
    <row r="622" spans="1:10" x14ac:dyDescent="0.25">
      <c r="A622" s="5">
        <v>45359</v>
      </c>
      <c r="B622">
        <f>(Prices!B638/Prices!B637)-1</f>
        <v>-7.6045627376424285E-3</v>
      </c>
      <c r="C622">
        <f>(Prices!C638/Prices!C637)-1</f>
        <v>7.20273051247311E-3</v>
      </c>
      <c r="D622">
        <f>(Prices!D638/Prices!D637)-1</f>
        <v>-9.2972108367490591E-3</v>
      </c>
      <c r="E622">
        <f>(Prices!E638/Prices!E637)-1</f>
        <v>-1.8478078279859922E-3</v>
      </c>
      <c r="F622">
        <f>(Prices!F638/Prices!F637)-1</f>
        <v>6.8760535888556795E-4</v>
      </c>
      <c r="G622">
        <f t="shared" si="36"/>
        <v>-2.1718491062037602E-3</v>
      </c>
      <c r="H622" s="8">
        <f t="shared" si="39"/>
        <v>770077.31112703704</v>
      </c>
      <c r="I622" s="8">
        <f t="shared" si="37"/>
        <v>1067100.1647020529</v>
      </c>
      <c r="J622" s="13">
        <f t="shared" si="38"/>
        <v>-0.27834580426472733</v>
      </c>
    </row>
    <row r="623" spans="1:10" x14ac:dyDescent="0.25">
      <c r="A623" s="6">
        <v>45362</v>
      </c>
      <c r="B623">
        <f>(Prices!B637/Prices!B636)-1</f>
        <v>-1.6425900124660942E-2</v>
      </c>
      <c r="C623">
        <f>(Prices!C637/Prices!C636)-1</f>
        <v>4.1834677419354538E-3</v>
      </c>
      <c r="D623">
        <f>(Prices!D637/Prices!D636)-1</f>
        <v>-5.863645398529127E-3</v>
      </c>
      <c r="E623">
        <f>(Prices!E637/Prices!E636)-1</f>
        <v>-3.9180566439045439E-4</v>
      </c>
      <c r="F623">
        <f>(Prices!F637/Prices!F636)-1</f>
        <v>-2.5716385011021359E-2</v>
      </c>
      <c r="G623">
        <f t="shared" si="36"/>
        <v>-8.842853691333287E-3</v>
      </c>
      <c r="H623" s="8">
        <f t="shared" si="39"/>
        <v>763267.63013372524</v>
      </c>
      <c r="I623" s="8">
        <f t="shared" si="37"/>
        <v>1067100.1647020529</v>
      </c>
      <c r="J623" s="13">
        <f t="shared" si="38"/>
        <v>-0.28472728673335118</v>
      </c>
    </row>
    <row r="624" spans="1:10" x14ac:dyDescent="0.25">
      <c r="A624" s="5">
        <v>45363</v>
      </c>
      <c r="B624">
        <f>(Prices!B636/Prices!B635)-1</f>
        <v>-5.9771120344047635E-3</v>
      </c>
      <c r="C624">
        <f>(Prices!C636/Prices!C635)-1</f>
        <v>-2.5899103964649561E-2</v>
      </c>
      <c r="D624">
        <f>(Prices!D636/Prices!D635)-1</f>
        <v>6.5019505851755532E-3</v>
      </c>
      <c r="E624">
        <f>(Prices!E636/Prices!E635)-1</f>
        <v>-8.1607727752178727E-3</v>
      </c>
      <c r="F624">
        <f>(Prices!F636/Prices!F635)-1</f>
        <v>-4.1042922256062653E-4</v>
      </c>
      <c r="G624">
        <f t="shared" si="36"/>
        <v>-6.7890934823314538E-3</v>
      </c>
      <c r="H624" s="8">
        <f t="shared" si="39"/>
        <v>758085.73484070972</v>
      </c>
      <c r="I624" s="8">
        <f t="shared" si="37"/>
        <v>1067100.1647020529</v>
      </c>
      <c r="J624" s="13">
        <f t="shared" si="38"/>
        <v>-0.28958334004907937</v>
      </c>
    </row>
    <row r="625" spans="1:10" x14ac:dyDescent="0.25">
      <c r="A625" s="6">
        <v>45364</v>
      </c>
      <c r="B625">
        <f>(Prices!B635/Prices!B634)-1</f>
        <v>-9.2438795406947216E-3</v>
      </c>
      <c r="C625">
        <f>(Prices!C635/Prices!C634)-1</f>
        <v>4.175057714033148E-4</v>
      </c>
      <c r="D625">
        <f>(Prices!D635/Prices!D634)-1</f>
        <v>-1.1079236324067709E-2</v>
      </c>
      <c r="E625">
        <f>(Prices!E635/Prices!E634)-1</f>
        <v>-8.0400903133432955E-3</v>
      </c>
      <c r="F625">
        <f>(Prices!F635/Prices!F634)-1</f>
        <v>2.7726632730424861E-3</v>
      </c>
      <c r="G625">
        <f t="shared" si="36"/>
        <v>-5.0346074267319857E-3</v>
      </c>
      <c r="H625" s="8">
        <f t="shared" si="39"/>
        <v>754269.07076998113</v>
      </c>
      <c r="I625" s="8">
        <f t="shared" si="37"/>
        <v>1067100.1647020529</v>
      </c>
      <c r="J625" s="13">
        <f t="shared" si="38"/>
        <v>-0.29316000904134243</v>
      </c>
    </row>
    <row r="626" spans="1:10" x14ac:dyDescent="0.25">
      <c r="A626" s="5">
        <v>45365</v>
      </c>
      <c r="B626">
        <f>(Prices!B634/Prices!B633)-1</f>
        <v>-2.3139329805996534E-2</v>
      </c>
      <c r="C626">
        <f>(Prices!C634/Prices!C633)-1</f>
        <v>-2.3783265403979903E-2</v>
      </c>
      <c r="D626">
        <f>(Prices!D634/Prices!D633)-1</f>
        <v>-1.739891135303262E-2</v>
      </c>
      <c r="E626">
        <f>(Prices!E634/Prices!E633)-1</f>
        <v>1.8109441578829211E-2</v>
      </c>
      <c r="F626">
        <f>(Prices!F634/Prices!F633)-1</f>
        <v>-2.0536100302638305E-3</v>
      </c>
      <c r="G626">
        <f t="shared" si="36"/>
        <v>-9.6531350028887346E-3</v>
      </c>
      <c r="H626" s="8">
        <f t="shared" si="39"/>
        <v>746988.00960133504</v>
      </c>
      <c r="I626" s="8">
        <f t="shared" si="37"/>
        <v>1067100.1647020529</v>
      </c>
      <c r="J626" s="13">
        <f t="shared" si="38"/>
        <v>-0.29998323089950701</v>
      </c>
    </row>
    <row r="627" spans="1:10" x14ac:dyDescent="0.25">
      <c r="A627" s="6">
        <v>45366</v>
      </c>
      <c r="B627">
        <f>(Prices!B633/Prices!B632)-1</f>
        <v>1.3585984983911281E-2</v>
      </c>
      <c r="C627">
        <f>(Prices!C633/Prices!C632)-1</f>
        <v>2.1127622591622375E-2</v>
      </c>
      <c r="D627">
        <f>(Prices!D633/Prices!D632)-1</f>
        <v>1.8502288440938042E-3</v>
      </c>
      <c r="E627">
        <f>(Prices!E633/Prices!E632)-1</f>
        <v>-1.2239020878329621E-2</v>
      </c>
      <c r="F627">
        <f>(Prices!F633/Prices!F632)-1</f>
        <v>-3.7043418332184386E-3</v>
      </c>
      <c r="G627">
        <f t="shared" si="36"/>
        <v>4.1240947416158798E-3</v>
      </c>
      <c r="H627" s="8">
        <f t="shared" si="39"/>
        <v>750068.65892378206</v>
      </c>
      <c r="I627" s="8">
        <f t="shared" si="37"/>
        <v>1067100.1647020529</v>
      </c>
      <c r="J627" s="13">
        <f t="shared" si="38"/>
        <v>-0.29709629542301669</v>
      </c>
    </row>
    <row r="628" spans="1:10" x14ac:dyDescent="0.25">
      <c r="A628" s="5">
        <v>45369</v>
      </c>
      <c r="B628">
        <f>(Prices!B632/Prices!B631)-1</f>
        <v>-4.4022147788638999E-2</v>
      </c>
      <c r="C628">
        <f>(Prices!C632/Prices!C631)-1</f>
        <v>-2.1497496030291607E-3</v>
      </c>
      <c r="D628">
        <f>(Prices!D632/Prices!D631)-1</f>
        <v>-9.261939218523918E-3</v>
      </c>
      <c r="E628">
        <f>(Prices!E632/Prices!E631)-1</f>
        <v>-1.2253159017559301E-2</v>
      </c>
      <c r="F628">
        <f>(Prices!F632/Prices!F631)-1</f>
        <v>7.7482365708083645E-3</v>
      </c>
      <c r="G628">
        <f t="shared" si="36"/>
        <v>-1.1987751811388603E-2</v>
      </c>
      <c r="H628" s="8">
        <f t="shared" si="39"/>
        <v>741077.02199910267</v>
      </c>
      <c r="I628" s="8">
        <f t="shared" si="37"/>
        <v>1067100.1647020529</v>
      </c>
      <c r="J628" s="13">
        <f t="shared" si="38"/>
        <v>-0.30552253058079121</v>
      </c>
    </row>
    <row r="629" spans="1:10" x14ac:dyDescent="0.25">
      <c r="A629" s="6">
        <v>45370</v>
      </c>
      <c r="B629">
        <f>(Prices!B631/Prices!B630)-1</f>
        <v>4.4630595990113875E-3</v>
      </c>
      <c r="C629">
        <f>(Prices!C631/Prices!C630)-1</f>
        <v>-9.7009870330946324E-3</v>
      </c>
      <c r="D629">
        <f>(Prices!D631/Prices!D630)-1</f>
        <v>-6.8985340615118629E-3</v>
      </c>
      <c r="E629">
        <f>(Prices!E631/Prices!E630)-1</f>
        <v>-5.819012399390866E-3</v>
      </c>
      <c r="F629">
        <f>(Prices!F631/Prices!F630)-1</f>
        <v>-1.2706779806291313E-2</v>
      </c>
      <c r="G629">
        <f t="shared" si="36"/>
        <v>-6.132450740255457E-3</v>
      </c>
      <c r="H629" s="8">
        <f t="shared" si="39"/>
        <v>736532.40366695798</v>
      </c>
      <c r="I629" s="8">
        <f t="shared" si="37"/>
        <v>1067100.1647020529</v>
      </c>
      <c r="J629" s="13">
        <f t="shared" si="38"/>
        <v>-0.30978137945222173</v>
      </c>
    </row>
    <row r="630" spans="1:10" x14ac:dyDescent="0.25">
      <c r="A630" s="5">
        <v>45371</v>
      </c>
      <c r="B630">
        <f>(Prices!B630/Prices!B629)-1</f>
        <v>-1.1537939459753122E-2</v>
      </c>
      <c r="C630">
        <f>(Prices!C630/Prices!C629)-1</f>
        <v>-8.9904341780345787E-3</v>
      </c>
      <c r="D630">
        <f>(Prices!D630/Prices!D629)-1</f>
        <v>8.6306098964339384E-4</v>
      </c>
      <c r="E630">
        <f>(Prices!E630/Prices!E629)-1</f>
        <v>-1.2936818938214634E-2</v>
      </c>
      <c r="F630">
        <f>(Prices!F630/Prices!F629)-1</f>
        <v>-1.8394148094280638E-3</v>
      </c>
      <c r="G630">
        <f t="shared" si="36"/>
        <v>-6.8883092791574016E-3</v>
      </c>
      <c r="H630" s="8">
        <f t="shared" si="39"/>
        <v>731458.94067637878</v>
      </c>
      <c r="I630" s="8">
        <f t="shared" si="37"/>
        <v>1067100.1647020529</v>
      </c>
      <c r="J630" s="13">
        <f t="shared" si="38"/>
        <v>-0.31453581878078818</v>
      </c>
    </row>
    <row r="631" spans="1:10" x14ac:dyDescent="0.25">
      <c r="A631" s="6">
        <v>45372</v>
      </c>
      <c r="B631">
        <f>(Prices!B629/Prices!B628)-1</f>
        <v>7.7286095342314898E-3</v>
      </c>
      <c r="C631">
        <f>(Prices!C629/Prices!C628)-1</f>
        <v>-9.6398129021535439E-3</v>
      </c>
      <c r="D631">
        <f>(Prices!D629/Prices!D628)-1</f>
        <v>-4.3918273820888754E-3</v>
      </c>
      <c r="E631">
        <f>(Prices!E629/Prices!E628)-1</f>
        <v>-1.3712409995764507E-2</v>
      </c>
      <c r="F631">
        <f>(Prices!F629/Prices!F628)-1</f>
        <v>5.1597368534206378E-3</v>
      </c>
      <c r="G631">
        <f t="shared" si="36"/>
        <v>-2.9711407784709602E-3</v>
      </c>
      <c r="H631" s="8">
        <f t="shared" si="39"/>
        <v>729285.67318995809</v>
      </c>
      <c r="I631" s="8">
        <f t="shared" si="37"/>
        <v>1067100.1647020529</v>
      </c>
      <c r="J631" s="13">
        <f t="shared" si="38"/>
        <v>-0.31657242936178975</v>
      </c>
    </row>
    <row r="632" spans="1:10" x14ac:dyDescent="0.25">
      <c r="A632" s="5">
        <v>45373</v>
      </c>
      <c r="B632">
        <f>(Prices!B628/Prices!B627)-1</f>
        <v>-2.1024439236692283E-2</v>
      </c>
      <c r="C632">
        <f>(Prices!C628/Prices!C627)-1</f>
        <v>1.4742598977528498E-3</v>
      </c>
      <c r="D632">
        <f>(Prices!D628/Prices!D627)-1</f>
        <v>0</v>
      </c>
      <c r="E632">
        <f>(Prices!E628/Prices!E627)-1</f>
        <v>1.2435677530017175E-2</v>
      </c>
      <c r="F632">
        <f>(Prices!F628/Prices!F627)-1</f>
        <v>3.3001876577294365E-3</v>
      </c>
      <c r="G632">
        <f t="shared" si="36"/>
        <v>-7.6286283023856442E-4</v>
      </c>
      <c r="H632" s="8">
        <f t="shared" si="39"/>
        <v>728729.32825725595</v>
      </c>
      <c r="I632" s="8">
        <f t="shared" si="37"/>
        <v>1067100.1647020529</v>
      </c>
      <c r="J632" s="13">
        <f t="shared" si="38"/>
        <v>-0.31709379085258987</v>
      </c>
    </row>
    <row r="633" spans="1:10" x14ac:dyDescent="0.25">
      <c r="A633" s="6">
        <v>45376</v>
      </c>
      <c r="B633">
        <f>(Prices!B627/Prices!B626)-1</f>
        <v>4.6414637427687477E-3</v>
      </c>
      <c r="C633">
        <f>(Prices!C627/Prices!C626)-1</f>
        <v>1.3886544998674033E-2</v>
      </c>
      <c r="D633">
        <f>(Prices!D627/Prices!D626)-1</f>
        <v>-1.0112465740478305E-2</v>
      </c>
      <c r="E633">
        <f>(Prices!E627/Prices!E626)-1</f>
        <v>9.1961484366547275E-3</v>
      </c>
      <c r="F633">
        <f>(Prices!F627/Prices!F626)-1</f>
        <v>8.6371943259944128E-3</v>
      </c>
      <c r="G633">
        <f t="shared" si="36"/>
        <v>5.249777152722724E-3</v>
      </c>
      <c r="H633" s="8">
        <f t="shared" si="39"/>
        <v>732554.99483525986</v>
      </c>
      <c r="I633" s="8">
        <f t="shared" si="37"/>
        <v>1067100.1647020529</v>
      </c>
      <c r="J633" s="13">
        <f t="shared" si="38"/>
        <v>-0.31350868543835536</v>
      </c>
    </row>
    <row r="634" spans="1:10" x14ac:dyDescent="0.25">
      <c r="A634" s="5">
        <v>45377</v>
      </c>
      <c r="B634">
        <f>(Prices!B626/Prices!B625)-1</f>
        <v>-3.9530988274707468E-3</v>
      </c>
      <c r="C634">
        <f>(Prices!C626/Prices!C625)-1</f>
        <v>2.8771760154739923E-3</v>
      </c>
      <c r="D634">
        <f>(Prices!D626/Prices!D625)-1</f>
        <v>7.5223766901542088E-3</v>
      </c>
      <c r="E634">
        <f>(Prices!E626/Prices!E625)-1</f>
        <v>-4.6306267499460763E-3</v>
      </c>
      <c r="F634">
        <f>(Prices!F626/Prices!F625)-1</f>
        <v>-1.3076245893543503E-2</v>
      </c>
      <c r="G634">
        <f t="shared" si="36"/>
        <v>-2.252083753066425E-3</v>
      </c>
      <c r="H634" s="8">
        <f t="shared" si="39"/>
        <v>730905.21963316377</v>
      </c>
      <c r="I634" s="8">
        <f t="shared" si="37"/>
        <v>1067100.1647020529</v>
      </c>
      <c r="J634" s="13">
        <f t="shared" si="38"/>
        <v>-0.3150547213745008</v>
      </c>
    </row>
    <row r="635" spans="1:10" x14ac:dyDescent="0.25">
      <c r="A635" s="6">
        <v>45378</v>
      </c>
      <c r="B635">
        <f>(Prices!B625/Prices!B624)-1</f>
        <v>-1.3382402141183247E-3</v>
      </c>
      <c r="C635">
        <f>(Prices!C625/Prices!C624)-1</f>
        <v>5.3219797764780807E-4</v>
      </c>
      <c r="D635">
        <f>(Prices!D625/Prices!D624)-1</f>
        <v>-1.0272358872867815E-2</v>
      </c>
      <c r="E635">
        <f>(Prices!E625/Prices!E624)-1</f>
        <v>-1.9015423621381755E-2</v>
      </c>
      <c r="F635">
        <f>(Prices!F625/Prices!F624)-1</f>
        <v>-1.6077859715314391E-3</v>
      </c>
      <c r="G635">
        <f t="shared" si="36"/>
        <v>-6.3403221404503057E-3</v>
      </c>
      <c r="H635" s="8">
        <f t="shared" si="39"/>
        <v>726271.04508655285</v>
      </c>
      <c r="I635" s="8">
        <f t="shared" si="37"/>
        <v>1067100.1647020529</v>
      </c>
      <c r="J635" s="13">
        <f t="shared" si="38"/>
        <v>-0.319397495089567</v>
      </c>
    </row>
    <row r="636" spans="1:10" x14ac:dyDescent="0.25">
      <c r="A636" s="5">
        <v>45379</v>
      </c>
      <c r="B636">
        <f>(Prices!B624/Prices!B623)-1</f>
        <v>-4.0131094910045295E-4</v>
      </c>
      <c r="C636">
        <f>(Prices!C624/Prices!C623)-1</f>
        <v>1.6719571591266025E-3</v>
      </c>
      <c r="D636">
        <f>(Prices!D624/Prices!D623)-1</f>
        <v>-1.0906040268456429E-2</v>
      </c>
      <c r="E636">
        <f>(Prices!E624/Prices!E623)-1</f>
        <v>-3.893507313480038E-3</v>
      </c>
      <c r="F636">
        <f>(Prices!F624/Prices!F623)-1</f>
        <v>-3.226564670185228E-3</v>
      </c>
      <c r="G636">
        <f t="shared" si="36"/>
        <v>-3.3510932084191091E-3</v>
      </c>
      <c r="H636" s="8">
        <f t="shared" si="39"/>
        <v>723837.24311989185</v>
      </c>
      <c r="I636" s="8">
        <f t="shared" si="37"/>
        <v>1067100.1647020529</v>
      </c>
      <c r="J636" s="13">
        <f t="shared" si="38"/>
        <v>-0.32167825752140539</v>
      </c>
    </row>
    <row r="637" spans="1:10" x14ac:dyDescent="0.25">
      <c r="A637" s="6">
        <v>45383</v>
      </c>
      <c r="B637">
        <f>(Prices!B623/Prices!B622)-1</f>
        <v>-2.9281911440072861E-2</v>
      </c>
      <c r="C637">
        <f>(Prices!C623/Prices!C622)-1</f>
        <v>-9.05249003505737E-3</v>
      </c>
      <c r="D637">
        <f>(Prices!D623/Prices!D622)-1</f>
        <v>-6.3906640733536468E-3</v>
      </c>
      <c r="E637">
        <f>(Prices!E623/Prices!E622)-1</f>
        <v>6.8337129840545519E-3</v>
      </c>
      <c r="F637">
        <f>(Prices!F623/Prices!F622)-1</f>
        <v>1.0210249104174896E-2</v>
      </c>
      <c r="G637">
        <f t="shared" si="36"/>
        <v>-5.5362206920508868E-3</v>
      </c>
      <c r="H637" s="8">
        <f t="shared" si="39"/>
        <v>719829.92039685452</v>
      </c>
      <c r="I637" s="8">
        <f t="shared" si="37"/>
        <v>1067100.1647020529</v>
      </c>
      <c r="J637" s="13">
        <f t="shared" si="38"/>
        <v>-0.3254335963879833</v>
      </c>
    </row>
    <row r="638" spans="1:10" x14ac:dyDescent="0.25">
      <c r="A638" s="5">
        <v>45384</v>
      </c>
      <c r="B638">
        <f>(Prices!B622/Prices!B621)-1</f>
        <v>6.0091443500980279E-3</v>
      </c>
      <c r="C638">
        <f>(Prices!C622/Prices!C621)-1</f>
        <v>7.4264012191875839E-3</v>
      </c>
      <c r="D638">
        <f>(Prices!D622/Prices!D621)-1</f>
        <v>-1.925697156871653E-2</v>
      </c>
      <c r="E638">
        <f>(Prices!E622/Prices!E621)-1</f>
        <v>4.23975833377499E-4</v>
      </c>
      <c r="F638">
        <f>(Prices!F622/Prices!F621)-1</f>
        <v>6.8897092754960809E-2</v>
      </c>
      <c r="G638">
        <f t="shared" si="36"/>
        <v>1.269992851778148E-2</v>
      </c>
      <c r="H638" s="8">
        <f t="shared" si="39"/>
        <v>728971.70893085492</v>
      </c>
      <c r="I638" s="8">
        <f t="shared" si="37"/>
        <v>1067100.1647020529</v>
      </c>
      <c r="J638" s="13">
        <f t="shared" si="38"/>
        <v>-0.31686665128161379</v>
      </c>
    </row>
    <row r="639" spans="1:10" x14ac:dyDescent="0.25">
      <c r="A639" s="6">
        <v>45385</v>
      </c>
      <c r="B639">
        <f>(Prices!B621/Prices!B620)-1</f>
        <v>-2.3458881793302355E-3</v>
      </c>
      <c r="C639">
        <f>(Prices!C621/Prices!C620)-1</f>
        <v>2.3519712914019664E-3</v>
      </c>
      <c r="D639">
        <f>(Prices!D621/Prices!D620)-1</f>
        <v>-1.8163654527292294E-4</v>
      </c>
      <c r="E639">
        <f>(Prices!E621/Prices!E620)-1</f>
        <v>2.8167517006802978E-3</v>
      </c>
      <c r="F639">
        <f>(Prices!F621/Prices!F620)-1</f>
        <v>-3.4948956129864372E-3</v>
      </c>
      <c r="G639">
        <f t="shared" si="36"/>
        <v>-1.7073946910146638E-4</v>
      </c>
      <c r="H639" s="8">
        <f t="shared" si="39"/>
        <v>728847.24468828202</v>
      </c>
      <c r="I639" s="8">
        <f t="shared" si="37"/>
        <v>1067100.1647020529</v>
      </c>
      <c r="J639" s="13">
        <f t="shared" si="38"/>
        <v>-0.31698328910689949</v>
      </c>
    </row>
    <row r="640" spans="1:10" x14ac:dyDescent="0.25">
      <c r="A640" s="5">
        <v>45386</v>
      </c>
      <c r="B640">
        <f>(Prices!B620/Prices!B619)-1</f>
        <v>2.9173093689222718E-2</v>
      </c>
      <c r="C640">
        <f>(Prices!C620/Prices!C619)-1</f>
        <v>6.1478409368138642E-3</v>
      </c>
      <c r="D640">
        <f>(Prices!D620/Prices!D619)-1</f>
        <v>-3.4392252692551084E-3</v>
      </c>
      <c r="E640">
        <f>(Prices!E620/Prices!E619)-1</f>
        <v>7.6581159963584611E-3</v>
      </c>
      <c r="F640">
        <f>(Prices!F620/Prices!F619)-1</f>
        <v>9.5870377678219931E-3</v>
      </c>
      <c r="G640">
        <f t="shared" si="36"/>
        <v>9.8253726241923859E-3</v>
      </c>
      <c r="H640" s="8">
        <f t="shared" si="39"/>
        <v>736008.44045346032</v>
      </c>
      <c r="I640" s="8">
        <f t="shared" si="37"/>
        <v>1067100.1647020529</v>
      </c>
      <c r="J640" s="13">
        <f t="shared" si="38"/>
        <v>-0.31027239541382451</v>
      </c>
    </row>
    <row r="641" spans="1:10" x14ac:dyDescent="0.25">
      <c r="A641" s="6">
        <v>45387</v>
      </c>
      <c r="B641">
        <f>(Prices!B619/Prices!B618)-1</f>
        <v>-1.2908777969018903E-2</v>
      </c>
      <c r="C641">
        <f>(Prices!C619/Prices!C618)-1</f>
        <v>-1.7968375658840463E-2</v>
      </c>
      <c r="D641">
        <f>(Prices!D619/Prices!D618)-1</f>
        <v>-1.3658275307980694E-2</v>
      </c>
      <c r="E641">
        <f>(Prices!E619/Prices!E618)-1</f>
        <v>-9.0745064742093762E-3</v>
      </c>
      <c r="F641">
        <f>(Prices!F619/Prices!F618)-1</f>
        <v>-7.88625240646601E-4</v>
      </c>
      <c r="G641">
        <f t="shared" si="36"/>
        <v>-1.087971213013921E-2</v>
      </c>
      <c r="H641" s="8">
        <f t="shared" si="39"/>
        <v>728000.88049597398</v>
      </c>
      <c r="I641" s="8">
        <f t="shared" si="37"/>
        <v>1067100.1647020529</v>
      </c>
      <c r="J641" s="13">
        <f t="shared" si="38"/>
        <v>-0.3177764331999326</v>
      </c>
    </row>
    <row r="642" spans="1:10" x14ac:dyDescent="0.25">
      <c r="A642" s="5">
        <v>45390</v>
      </c>
      <c r="B642">
        <f>(Prices!B618/Prices!B617)-1</f>
        <v>-1.5190038464045763E-2</v>
      </c>
      <c r="C642">
        <f>(Prices!C618/Prices!C617)-1</f>
        <v>2.2089896273529419E-3</v>
      </c>
      <c r="D642">
        <f>(Prices!D618/Prices!D617)-1</f>
        <v>6.8308466654682931E-3</v>
      </c>
      <c r="E642">
        <f>(Prices!E618/Prices!E617)-1</f>
        <v>-5.2262049305812353E-3</v>
      </c>
      <c r="F642">
        <f>(Prices!F618/Prices!F617)-1</f>
        <v>-5.7953544438782423E-4</v>
      </c>
      <c r="G642">
        <f t="shared" ref="G642:G705" si="40">B642*20%+C642*20%+D642*20%+E642*20%+F642*20%</f>
        <v>-2.3911885092387174E-3</v>
      </c>
      <c r="H642" s="8">
        <f t="shared" si="39"/>
        <v>726260.09315581631</v>
      </c>
      <c r="I642" s="8">
        <f t="shared" ref="I642:I705" si="41">MAX(I641,H642)</f>
        <v>1067100.1647020529</v>
      </c>
      <c r="J642" s="13">
        <f t="shared" ref="J642:J705" si="42">(H642-I642)/I642</f>
        <v>-0.31940775835359675</v>
      </c>
    </row>
    <row r="643" spans="1:10" x14ac:dyDescent="0.25">
      <c r="A643" s="6">
        <v>45391</v>
      </c>
      <c r="B643">
        <f>(Prices!B617/Prices!B616)-1</f>
        <v>-1.1152656008251771E-2</v>
      </c>
      <c r="C643">
        <f>(Prices!C617/Prices!C616)-1</f>
        <v>-3.9699622136125656E-3</v>
      </c>
      <c r="D643">
        <f>(Prices!D617/Prices!D616)-1</f>
        <v>-5.1859799713876997E-3</v>
      </c>
      <c r="E643">
        <f>(Prices!E617/Prices!E616)-1</f>
        <v>6.7495748299319924E-3</v>
      </c>
      <c r="F643">
        <f>(Prices!F617/Prices!F616)-1</f>
        <v>-8.0938146700390012E-3</v>
      </c>
      <c r="G643">
        <f t="shared" si="40"/>
        <v>-4.3305676066718087E-3</v>
      </c>
      <c r="H643" s="8">
        <f t="shared" si="39"/>
        <v>723114.97472237726</v>
      </c>
      <c r="I643" s="8">
        <f t="shared" si="41"/>
        <v>1067100.1647020529</v>
      </c>
      <c r="J643" s="13">
        <f t="shared" si="42"/>
        <v>-0.32235510906862286</v>
      </c>
    </row>
    <row r="644" spans="1:10" x14ac:dyDescent="0.25">
      <c r="A644" s="5">
        <v>45392</v>
      </c>
      <c r="B644">
        <f>(Prices!B616/Prices!B615)-1</f>
        <v>2.909420055602352E-3</v>
      </c>
      <c r="C644">
        <f>(Prices!C616/Prices!C615)-1</f>
        <v>7.1294378341923981E-3</v>
      </c>
      <c r="D644">
        <f>(Prices!D616/Prices!D615)-1</f>
        <v>-8.3348111367262945E-3</v>
      </c>
      <c r="E644">
        <f>(Prices!E616/Prices!E615)-1</f>
        <v>8.6303939962475429E-3</v>
      </c>
      <c r="F644">
        <f>(Prices!F616/Prices!F615)-1</f>
        <v>2.1491485613623018E-2</v>
      </c>
      <c r="G644">
        <f t="shared" si="40"/>
        <v>6.3651852725878028E-3</v>
      </c>
      <c r="H644" s="8">
        <f t="shared" ref="H644:H707" si="43">H643*(1+G644)</f>
        <v>727717.7355098679</v>
      </c>
      <c r="I644" s="8">
        <f t="shared" si="41"/>
        <v>1067100.1647020529</v>
      </c>
      <c r="J644" s="13">
        <f t="shared" si="42"/>
        <v>-0.31804177378882204</v>
      </c>
    </row>
    <row r="645" spans="1:10" x14ac:dyDescent="0.25">
      <c r="A645" s="6">
        <v>45393</v>
      </c>
      <c r="B645">
        <f>(Prices!B615/Prices!B614)-1</f>
        <v>-2.0518016591729471E-2</v>
      </c>
      <c r="C645">
        <f>(Prices!C615/Prices!C614)-1</f>
        <v>-1.091099676005336E-2</v>
      </c>
      <c r="D645">
        <f>(Prices!D615/Prices!D614)-1</f>
        <v>3.3807829181493609E-3</v>
      </c>
      <c r="E645">
        <f>(Prices!E615/Prices!E614)-1</f>
        <v>1.6084066051891277E-4</v>
      </c>
      <c r="F645">
        <f>(Prices!F615/Prices!F614)-1</f>
        <v>1.8857539426137215E-2</v>
      </c>
      <c r="G645">
        <f t="shared" si="40"/>
        <v>-1.8059700693954686E-3</v>
      </c>
      <c r="H645" s="8">
        <f t="shared" si="43"/>
        <v>726403.49906056887</v>
      </c>
      <c r="I645" s="8">
        <f t="shared" si="41"/>
        <v>1067100.1647020529</v>
      </c>
      <c r="J645" s="13">
        <f t="shared" si="42"/>
        <v>-0.3192733699339374</v>
      </c>
    </row>
    <row r="646" spans="1:10" x14ac:dyDescent="0.25">
      <c r="A646" s="5">
        <v>45394</v>
      </c>
      <c r="B646">
        <f>(Prices!B614/Prices!B613)-1</f>
        <v>1.0688684075780719E-2</v>
      </c>
      <c r="C646">
        <f>(Prices!C614/Prices!C613)-1</f>
        <v>1.4280536426241275E-2</v>
      </c>
      <c r="D646">
        <f>(Prices!D614/Prices!D613)-1</f>
        <v>1.1792240525699826E-2</v>
      </c>
      <c r="E646">
        <f>(Prices!E614/Prices!E613)-1</f>
        <v>6.9188879335053244E-2</v>
      </c>
      <c r="F646">
        <f>(Prices!F614/Prices!F613)-1</f>
        <v>5.7281763700691712E-3</v>
      </c>
      <c r="G646">
        <f t="shared" si="40"/>
        <v>2.2335703346568848E-2</v>
      </c>
      <c r="H646" s="8">
        <f t="shared" si="43"/>
        <v>742628.23212549521</v>
      </c>
      <c r="I646" s="8">
        <f t="shared" si="41"/>
        <v>1067100.1647020529</v>
      </c>
      <c r="J646" s="13">
        <f t="shared" si="42"/>
        <v>-0.30406886186467241</v>
      </c>
    </row>
    <row r="647" spans="1:10" x14ac:dyDescent="0.25">
      <c r="A647" s="6">
        <v>45397</v>
      </c>
      <c r="B647">
        <f>(Prices!B613/Prices!B612)-1</f>
        <v>1.8513689700130342E-2</v>
      </c>
      <c r="C647">
        <f>(Prices!C613/Prices!C612)-1</f>
        <v>1.9988169763888175E-2</v>
      </c>
      <c r="D647">
        <f>(Prices!D613/Prices!D612)-1</f>
        <v>5.7034220532319324E-3</v>
      </c>
      <c r="E647">
        <f>(Prices!E613/Prices!E612)-1</f>
        <v>-5.7290174735047383E-4</v>
      </c>
      <c r="F647">
        <f>(Prices!F613/Prices!F612)-1</f>
        <v>-1.442227862513934E-2</v>
      </c>
      <c r="G647">
        <f t="shared" si="40"/>
        <v>5.8420202289521262E-3</v>
      </c>
      <c r="H647" s="8">
        <f t="shared" si="43"/>
        <v>746966.68128016335</v>
      </c>
      <c r="I647" s="8">
        <f t="shared" si="41"/>
        <v>1067100.1647020529</v>
      </c>
      <c r="J647" s="13">
        <f t="shared" si="42"/>
        <v>-0.30000321807772812</v>
      </c>
    </row>
    <row r="648" spans="1:10" x14ac:dyDescent="0.25">
      <c r="A648" s="5">
        <v>45398</v>
      </c>
      <c r="B648">
        <f>(Prices!B612/Prices!B611)-1</f>
        <v>3.0077154439649423E-3</v>
      </c>
      <c r="C648">
        <f>(Prices!C612/Prices!C611)-1</f>
        <v>-2.262332169379877E-3</v>
      </c>
      <c r="D648">
        <f>(Prices!D612/Prices!D611)-1</f>
        <v>8.3987584444038532E-3</v>
      </c>
      <c r="E648">
        <f>(Prices!E612/Prices!E611)-1</f>
        <v>1.1590843233845183E-2</v>
      </c>
      <c r="F648">
        <f>(Prices!F612/Prices!F611)-1</f>
        <v>-4.9597583245034604E-2</v>
      </c>
      <c r="G648">
        <f t="shared" si="40"/>
        <v>-5.7725196584401004E-3</v>
      </c>
      <c r="H648" s="8">
        <f t="shared" si="43"/>
        <v>742654.8014282739</v>
      </c>
      <c r="I648" s="8">
        <f t="shared" si="41"/>
        <v>1067100.1647020529</v>
      </c>
      <c r="J648" s="13">
        <f t="shared" si="42"/>
        <v>-0.30404396326221922</v>
      </c>
    </row>
    <row r="649" spans="1:10" x14ac:dyDescent="0.25">
      <c r="A649" s="6">
        <v>45399</v>
      </c>
      <c r="B649">
        <f>(Prices!B611/Prices!B610)-1</f>
        <v>-6.8831168831169354E-3</v>
      </c>
      <c r="C649">
        <f>(Prices!C611/Prices!C610)-1</f>
        <v>6.6339917817714866E-3</v>
      </c>
      <c r="D649">
        <f>(Prices!D611/Prices!D610)-1</f>
        <v>4.5666270892330552E-4</v>
      </c>
      <c r="E649">
        <f>(Prices!E611/Prices!E610)-1</f>
        <v>3.9564787339267937E-3</v>
      </c>
      <c r="F649">
        <f>(Prices!F611/Prices!F610)-1</f>
        <v>-2.1097698232295348E-2</v>
      </c>
      <c r="G649">
        <f t="shared" si="40"/>
        <v>-3.3867363781581398E-3</v>
      </c>
      <c r="H649" s="8">
        <f t="shared" si="43"/>
        <v>740139.62539586297</v>
      </c>
      <c r="I649" s="8">
        <f t="shared" si="41"/>
        <v>1067100.1647020529</v>
      </c>
      <c r="J649" s="13">
        <f t="shared" si="42"/>
        <v>-0.30640098288943779</v>
      </c>
    </row>
    <row r="650" spans="1:10" x14ac:dyDescent="0.25">
      <c r="A650" s="5">
        <v>45400</v>
      </c>
      <c r="B650">
        <f>(Prices!B610/Prices!B609)-1</f>
        <v>-3.494240973210716E-3</v>
      </c>
      <c r="C650">
        <f>(Prices!C610/Prices!C609)-1</f>
        <v>1.8736603202622604E-2</v>
      </c>
      <c r="D650">
        <f>(Prices!D610/Prices!D609)-1</f>
        <v>9.1416034372415744E-4</v>
      </c>
      <c r="E650">
        <f>(Prices!E610/Prices!E609)-1</f>
        <v>-6.4169268123481782E-3</v>
      </c>
      <c r="F650">
        <f>(Prices!F610/Prices!F609)-1</f>
        <v>-2.8764333940628051E-2</v>
      </c>
      <c r="G650">
        <f t="shared" si="40"/>
        <v>-3.8049476359680373E-3</v>
      </c>
      <c r="H650" s="8">
        <f t="shared" si="43"/>
        <v>737323.43287792674</v>
      </c>
      <c r="I650" s="8">
        <f t="shared" si="41"/>
        <v>1067100.1647020529</v>
      </c>
      <c r="J650" s="13">
        <f t="shared" si="42"/>
        <v>-0.30904009082990236</v>
      </c>
    </row>
    <row r="651" spans="1:10" x14ac:dyDescent="0.25">
      <c r="A651" s="6">
        <v>45401</v>
      </c>
      <c r="B651">
        <f>(Prices!B609/Prices!B608)-1</f>
        <v>1.2447589098532497E-2</v>
      </c>
      <c r="C651">
        <f>(Prices!C609/Prices!C608)-1</f>
        <v>1.2899106002554284E-2</v>
      </c>
      <c r="D651">
        <f>(Prices!D609/Prices!D608)-1</f>
        <v>-1.1297903109182883E-2</v>
      </c>
      <c r="E651">
        <f>(Prices!E609/Prices!E608)-1</f>
        <v>-2.4530536288276172E-2</v>
      </c>
      <c r="F651">
        <f>(Prices!F609/Prices!F608)-1</f>
        <v>-1.5862636319530887E-2</v>
      </c>
      <c r="G651">
        <f t="shared" si="40"/>
        <v>-5.2688761231806328E-3</v>
      </c>
      <c r="H651" s="8">
        <f t="shared" si="43"/>
        <v>733438.56704737467</v>
      </c>
      <c r="I651" s="8">
        <f t="shared" si="41"/>
        <v>1067100.1647020529</v>
      </c>
      <c r="J651" s="13">
        <f t="shared" si="42"/>
        <v>-0.31268067299740371</v>
      </c>
    </row>
    <row r="652" spans="1:10" x14ac:dyDescent="0.25">
      <c r="A652" s="5">
        <v>45404</v>
      </c>
      <c r="B652">
        <f>(Prices!B608/Prices!B607)-1</f>
        <v>-1.401718235256133E-2</v>
      </c>
      <c r="C652">
        <f>(Prices!C608/Prices!C607)-1</f>
        <v>-4.5766590389015871E-3</v>
      </c>
      <c r="D652">
        <f>(Prices!D608/Prices!D607)-1</f>
        <v>-5.6619034780264199E-3</v>
      </c>
      <c r="E652">
        <f>(Prices!E608/Prices!E607)-1</f>
        <v>-1.9029706256569079E-2</v>
      </c>
      <c r="F652">
        <f>(Prices!F608/Prices!F607)-1</f>
        <v>2.0141593682081238E-2</v>
      </c>
      <c r="G652">
        <f t="shared" si="40"/>
        <v>-4.6287714887954358E-3</v>
      </c>
      <c r="H652" s="8">
        <f t="shared" si="43"/>
        <v>730043.64751944272</v>
      </c>
      <c r="I652" s="8">
        <f t="shared" si="41"/>
        <v>1067100.1647020529</v>
      </c>
      <c r="J652" s="13">
        <f t="shared" si="42"/>
        <v>-0.31586211710193152</v>
      </c>
    </row>
    <row r="653" spans="1:10" x14ac:dyDescent="0.25">
      <c r="A653" s="6">
        <v>45405</v>
      </c>
      <c r="B653">
        <f>(Prices!B607/Prices!B606)-1</f>
        <v>-1.2502392039293264E-2</v>
      </c>
      <c r="C653">
        <f>(Prices!C607/Prices!C606)-1</f>
        <v>-1.6233522599364725E-2</v>
      </c>
      <c r="D653">
        <f>(Prices!D607/Prices!D606)-1</f>
        <v>-3.8495971351836245E-3</v>
      </c>
      <c r="E653">
        <f>(Prices!E607/Prices!E606)-1</f>
        <v>-1.4232740756898177E-2</v>
      </c>
      <c r="F653">
        <f>(Prices!F607/Prices!F606)-1</f>
        <v>1.0392885873937274E-2</v>
      </c>
      <c r="G653">
        <f t="shared" si="40"/>
        <v>-7.2850733313605028E-3</v>
      </c>
      <c r="H653" s="8">
        <f t="shared" si="43"/>
        <v>724725.22601216962</v>
      </c>
      <c r="I653" s="8">
        <f t="shared" si="41"/>
        <v>1067100.1647020529</v>
      </c>
      <c r="J653" s="13">
        <f t="shared" si="42"/>
        <v>-0.32084611174760569</v>
      </c>
    </row>
    <row r="654" spans="1:10" x14ac:dyDescent="0.25">
      <c r="A654" s="5">
        <v>45406</v>
      </c>
      <c r="B654">
        <f>(Prices!B606/Prices!B605)-1</f>
        <v>-5.4558142485566785E-3</v>
      </c>
      <c r="C654">
        <f>(Prices!C606/Prices!C605)-1</f>
        <v>-3.6386292834890144E-3</v>
      </c>
      <c r="D654">
        <f>(Prices!D606/Prices!D605)-1</f>
        <v>-1.790189760114691E-4</v>
      </c>
      <c r="E654">
        <f>(Prices!E606/Prices!E605)-1</f>
        <v>-4.8298692136539145E-3</v>
      </c>
      <c r="F654">
        <f>(Prices!F606/Prices!F605)-1</f>
        <v>-2.2993991192867824E-3</v>
      </c>
      <c r="G654">
        <f t="shared" si="40"/>
        <v>-3.280546168199572E-3</v>
      </c>
      <c r="H654" s="8">
        <f t="shared" si="43"/>
        <v>722347.73144897784</v>
      </c>
      <c r="I654" s="8">
        <f t="shared" si="41"/>
        <v>1067100.1647020529</v>
      </c>
      <c r="J654" s="13">
        <f t="shared" si="42"/>
        <v>-0.32307410743332993</v>
      </c>
    </row>
    <row r="655" spans="1:10" x14ac:dyDescent="0.25">
      <c r="A655" s="6">
        <v>45407</v>
      </c>
      <c r="B655">
        <f>(Prices!B605/Prices!B604)-1</f>
        <v>2.0060829612372988E-2</v>
      </c>
      <c r="C655">
        <f>(Prices!C605/Prices!C604)-1</f>
        <v>2.5113688620918673E-2</v>
      </c>
      <c r="D655">
        <f>(Prices!D605/Prices!D604)-1</f>
        <v>-2.3218431862832567E-3</v>
      </c>
      <c r="E655">
        <f>(Prices!E605/Prices!E604)-1</f>
        <v>-1.5172040097534145E-3</v>
      </c>
      <c r="F655">
        <f>(Prices!F605/Prices!F604)-1</f>
        <v>-1.3270831995547794E-2</v>
      </c>
      <c r="G655">
        <f t="shared" si="40"/>
        <v>5.6129278083414374E-3</v>
      </c>
      <c r="H655" s="8">
        <f t="shared" si="43"/>
        <v>726402.21711812017</v>
      </c>
      <c r="I655" s="8">
        <f t="shared" si="41"/>
        <v>1067100.1647020529</v>
      </c>
      <c r="J655" s="13">
        <f t="shared" si="42"/>
        <v>-0.31927457126675612</v>
      </c>
    </row>
    <row r="656" spans="1:10" x14ac:dyDescent="0.25">
      <c r="A656" s="5">
        <v>45408</v>
      </c>
      <c r="B656">
        <f>(Prices!B604/Prices!B603)-1</f>
        <v>-9.2761110784946976E-2</v>
      </c>
      <c r="C656">
        <f>(Prices!C604/Prices!C603)-1</f>
        <v>-1.7914492171818508E-2</v>
      </c>
      <c r="D656">
        <f>(Prices!D604/Prices!D603)-1</f>
        <v>2.856617984752452E-2</v>
      </c>
      <c r="E656">
        <f>(Prices!E604/Prices!E603)-1</f>
        <v>-5.9568937506759845E-4</v>
      </c>
      <c r="F656">
        <f>(Prices!F604/Prices!F603)-1</f>
        <v>-3.0089628681178038E-3</v>
      </c>
      <c r="G656">
        <f t="shared" si="40"/>
        <v>-1.7142815070485276E-2</v>
      </c>
      <c r="H656" s="8">
        <f t="shared" si="43"/>
        <v>713949.63824327372</v>
      </c>
      <c r="I656" s="8">
        <f t="shared" si="41"/>
        <v>1067100.1647020529</v>
      </c>
      <c r="J656" s="13">
        <f t="shared" si="42"/>
        <v>-0.33094412140530693</v>
      </c>
    </row>
    <row r="657" spans="1:10" x14ac:dyDescent="0.25">
      <c r="A657" s="6">
        <v>45411</v>
      </c>
      <c r="B657">
        <f>(Prices!B603/Prices!B602)-1</f>
        <v>3.4937416454004167E-2</v>
      </c>
      <c r="C657">
        <f>(Prices!C603/Prices!C602)-1</f>
        <v>1.0112274121195197E-2</v>
      </c>
      <c r="D657">
        <f>(Prices!D603/Prices!D602)-1</f>
        <v>-1.4037312081144671E-2</v>
      </c>
      <c r="E657">
        <f>(Prices!E603/Prices!E602)-1</f>
        <v>1.0842459069715371E-3</v>
      </c>
      <c r="F657">
        <f>(Prices!F603/Prices!F602)-1</f>
        <v>1.2926375859236616E-2</v>
      </c>
      <c r="G657">
        <f t="shared" si="40"/>
        <v>9.0046000520525703E-3</v>
      </c>
      <c r="H657" s="8">
        <f t="shared" si="43"/>
        <v>720378.46919296193</v>
      </c>
      <c r="I657" s="8">
        <f t="shared" si="41"/>
        <v>1067100.1647020529</v>
      </c>
      <c r="J657" s="13">
        <f t="shared" si="42"/>
        <v>-0.32491954080608715</v>
      </c>
    </row>
    <row r="658" spans="1:10" x14ac:dyDescent="0.25">
      <c r="A658" s="5">
        <v>45412</v>
      </c>
      <c r="B658">
        <f>(Prices!B602/Prices!B601)-1</f>
        <v>2.0651162790697786E-2</v>
      </c>
      <c r="C658">
        <f>(Prices!C602/Prices!C601)-1</f>
        <v>3.3176224142445809E-2</v>
      </c>
      <c r="D658">
        <f>(Prices!D602/Prices!D601)-1</f>
        <v>1.1542689629901126E-2</v>
      </c>
      <c r="E658">
        <f>(Prices!E602/Prices!E601)-1</f>
        <v>8.0332258593365236E-3</v>
      </c>
      <c r="F658">
        <f>(Prices!F602/Prices!F601)-1</f>
        <v>1.1014467415533913E-2</v>
      </c>
      <c r="G658">
        <f t="shared" si="40"/>
        <v>1.6883553967583034E-2</v>
      </c>
      <c r="H658" s="8">
        <f t="shared" si="43"/>
        <v>732541.01795466617</v>
      </c>
      <c r="I658" s="8">
        <f t="shared" si="41"/>
        <v>1067100.1647020529</v>
      </c>
      <c r="J658" s="13">
        <f t="shared" si="42"/>
        <v>-0.31352178344082599</v>
      </c>
    </row>
    <row r="659" spans="1:10" x14ac:dyDescent="0.25">
      <c r="A659" s="6">
        <v>45413</v>
      </c>
      <c r="B659">
        <f>(Prices!B601/Prices!B600)-1</f>
        <v>-6.5919172005913795E-3</v>
      </c>
      <c r="C659">
        <f>(Prices!C601/Prices!C600)-1</f>
        <v>-1.4197212183789332E-2</v>
      </c>
      <c r="D659">
        <f>(Prices!D601/Prices!D600)-1</f>
        <v>1.9329535904379469E-2</v>
      </c>
      <c r="E659">
        <f>(Prices!E601/Prices!E600)-1</f>
        <v>-6.5534378242593228E-4</v>
      </c>
      <c r="F659">
        <f>(Prices!F601/Prices!F600)-1</f>
        <v>-8.5158416490171973E-4</v>
      </c>
      <c r="G659">
        <f t="shared" si="40"/>
        <v>-5.9330428546577874E-4</v>
      </c>
      <c r="H659" s="8">
        <f t="shared" si="43"/>
        <v>732106.39822943415</v>
      </c>
      <c r="I659" s="8">
        <f t="shared" si="41"/>
        <v>1067100.1647020529</v>
      </c>
      <c r="J659" s="13">
        <f t="shared" si="42"/>
        <v>-0.31392907390858948</v>
      </c>
    </row>
    <row r="660" spans="1:10" x14ac:dyDescent="0.25">
      <c r="A660" s="5">
        <v>45414</v>
      </c>
      <c r="B660">
        <f>(Prices!B600/Prices!B599)-1</f>
        <v>-1.6540442290215229E-2</v>
      </c>
      <c r="C660">
        <f>(Prices!C600/Prices!C599)-1</f>
        <v>-7.2775727757278252E-3</v>
      </c>
      <c r="D660">
        <f>(Prices!D600/Prices!D599)-1</f>
        <v>-1.7710663683817573E-3</v>
      </c>
      <c r="E660">
        <f>(Prices!E600/Prices!E599)-1</f>
        <v>1.0387054450033961E-3</v>
      </c>
      <c r="F660">
        <f>(Prices!F600/Prices!F599)-1</f>
        <v>-1.7969336335370456E-2</v>
      </c>
      <c r="G660">
        <f t="shared" si="40"/>
        <v>-8.5039424649383747E-3</v>
      </c>
      <c r="H660" s="8">
        <f t="shared" si="43"/>
        <v>725880.60754067777</v>
      </c>
      <c r="I660" s="8">
        <f t="shared" si="41"/>
        <v>1067100.1647020529</v>
      </c>
      <c r="J660" s="13">
        <f t="shared" si="42"/>
        <v>-0.31976338159093787</v>
      </c>
    </row>
    <row r="661" spans="1:10" x14ac:dyDescent="0.25">
      <c r="A661" s="6">
        <v>45415</v>
      </c>
      <c r="B661">
        <f>(Prices!B599/Prices!B598)-1</f>
        <v>-3.6822407340334484E-3</v>
      </c>
      <c r="C661">
        <f>(Prices!C599/Prices!C598)-1</f>
        <v>-2.1709701679618831E-2</v>
      </c>
      <c r="D661">
        <f>(Prices!D599/Prices!D598)-1</f>
        <v>2.0549224733794613E-3</v>
      </c>
      <c r="E661">
        <f>(Prices!E599/Prices!E598)-1</f>
        <v>6.0499395006050616E-3</v>
      </c>
      <c r="F661">
        <f>(Prices!F599/Prices!F598)-1</f>
        <v>1.0518181427896511E-3</v>
      </c>
      <c r="G661">
        <f t="shared" si="40"/>
        <v>-3.2470524593756211E-3</v>
      </c>
      <c r="H661" s="8">
        <f t="shared" si="43"/>
        <v>723523.63512874977</v>
      </c>
      <c r="I661" s="8">
        <f t="shared" si="41"/>
        <v>1067100.1647020529</v>
      </c>
      <c r="J661" s="13">
        <f t="shared" si="42"/>
        <v>-0.32197214557570031</v>
      </c>
    </row>
    <row r="662" spans="1:10" x14ac:dyDescent="0.25">
      <c r="A662" s="5">
        <v>45418</v>
      </c>
      <c r="B662">
        <f>(Prices!B598/Prices!B597)-1</f>
        <v>-5.1645447994235205E-3</v>
      </c>
      <c r="C662">
        <f>(Prices!C598/Prices!C597)-1</f>
        <v>-1.6615718370969312E-2</v>
      </c>
      <c r="D662">
        <f>(Prices!D598/Prices!D597)-1</f>
        <v>-6.4037122969837768E-3</v>
      </c>
      <c r="E662">
        <f>(Prices!E598/Prices!E597)-1</f>
        <v>-7.7493996943899246E-3</v>
      </c>
      <c r="F662">
        <f>(Prices!F598/Prices!F597)-1</f>
        <v>-3.9128482541854748E-3</v>
      </c>
      <c r="G662">
        <f t="shared" si="40"/>
        <v>-7.9692446831904021E-3</v>
      </c>
      <c r="H662" s="8">
        <f t="shared" si="43"/>
        <v>717757.69824633736</v>
      </c>
      <c r="I662" s="8">
        <f t="shared" si="41"/>
        <v>1067100.1647020529</v>
      </c>
      <c r="J662" s="13">
        <f t="shared" si="42"/>
        <v>-0.32737551544962618</v>
      </c>
    </row>
    <row r="663" spans="1:10" x14ac:dyDescent="0.25">
      <c r="A663" s="6">
        <v>45419</v>
      </c>
      <c r="B663">
        <f>(Prices!B597/Prices!B596)-1</f>
        <v>-1.8391888705493797E-2</v>
      </c>
      <c r="C663">
        <f>(Prices!C597/Prices!C596)-1</f>
        <v>1.026100816895803E-2</v>
      </c>
      <c r="D663">
        <f>(Prices!D597/Prices!D596)-1</f>
        <v>4.9431076291737153E-3</v>
      </c>
      <c r="E663">
        <f>(Prices!E597/Prices!E596)-1</f>
        <v>1.3114754098360049E-3</v>
      </c>
      <c r="F663">
        <f>(Prices!F597/Prices!F596)-1</f>
        <v>-1.3124854930261054E-2</v>
      </c>
      <c r="G663">
        <f t="shared" si="40"/>
        <v>-3.0002304855574207E-3</v>
      </c>
      <c r="H663" s="8">
        <f t="shared" si="43"/>
        <v>715604.25971881521</v>
      </c>
      <c r="I663" s="8">
        <f t="shared" si="41"/>
        <v>1067100.1647020529</v>
      </c>
      <c r="J663" s="13">
        <f t="shared" si="42"/>
        <v>-0.32939354393350651</v>
      </c>
    </row>
    <row r="664" spans="1:10" x14ac:dyDescent="0.25">
      <c r="A664" s="5">
        <v>45420</v>
      </c>
      <c r="B664">
        <f>(Prices!B596/Prices!B595)-1</f>
        <v>1.108594588151135E-2</v>
      </c>
      <c r="C664">
        <f>(Prices!C596/Prices!C595)-1</f>
        <v>-2.9302210081947333E-3</v>
      </c>
      <c r="D664">
        <f>(Prices!D596/Prices!D595)-1</f>
        <v>1.8656716417897456E-4</v>
      </c>
      <c r="E664">
        <f>(Prices!E596/Prices!E595)-1</f>
        <v>-1.9975365500990661E-2</v>
      </c>
      <c r="F664">
        <f>(Prices!F596/Prices!F595)-1</f>
        <v>-4.4744139147970818E-3</v>
      </c>
      <c r="G664">
        <f t="shared" si="40"/>
        <v>-3.2214974756584304E-3</v>
      </c>
      <c r="H664" s="8">
        <f t="shared" si="43"/>
        <v>713298.94240256061</v>
      </c>
      <c r="I664" s="8">
        <f t="shared" si="41"/>
        <v>1067100.1647020529</v>
      </c>
      <c r="J664" s="13">
        <f t="shared" si="42"/>
        <v>-0.33155390093888498</v>
      </c>
    </row>
    <row r="665" spans="1:10" x14ac:dyDescent="0.25">
      <c r="A665" s="6">
        <v>45421</v>
      </c>
      <c r="B665">
        <f>(Prices!B595/Prices!B594)-1</f>
        <v>-3.4449988120694996E-3</v>
      </c>
      <c r="C665">
        <f>(Prices!C595/Prices!C594)-1</f>
        <v>-4.3268636419829809E-3</v>
      </c>
      <c r="D665">
        <f>(Prices!D595/Prices!D594)-1</f>
        <v>-1.9302900009148249E-2</v>
      </c>
      <c r="E665">
        <f>(Prices!E595/Prices!E594)-1</f>
        <v>-9.3373653774737608E-3</v>
      </c>
      <c r="F665">
        <f>(Prices!F595/Prices!F594)-1</f>
        <v>-7.5263212759302256E-3</v>
      </c>
      <c r="G665">
        <f t="shared" si="40"/>
        <v>-8.787689823320944E-3</v>
      </c>
      <c r="H665" s="8">
        <f t="shared" si="43"/>
        <v>707030.6925454241</v>
      </c>
      <c r="I665" s="8">
        <f t="shared" si="41"/>
        <v>1067100.1647020529</v>
      </c>
      <c r="J665" s="13">
        <f t="shared" si="42"/>
        <v>-0.33742799792104289</v>
      </c>
    </row>
    <row r="666" spans="1:10" x14ac:dyDescent="0.25">
      <c r="A666" s="5">
        <v>45422</v>
      </c>
      <c r="B666">
        <f>(Prices!B594/Prices!B593)-1</f>
        <v>7.7816353405961713E-3</v>
      </c>
      <c r="C666">
        <f>(Prices!C594/Prices!C593)-1</f>
        <v>-5.8256722874981959E-3</v>
      </c>
      <c r="D666">
        <f>(Prices!D594/Prices!D593)-1</f>
        <v>4.0415174060806081E-3</v>
      </c>
      <c r="E666">
        <f>(Prices!E594/Prices!E593)-1</f>
        <v>-6.3784923563520168E-3</v>
      </c>
      <c r="F666">
        <f>(Prices!F594/Prices!F593)-1</f>
        <v>-1.1275560686015873E-2</v>
      </c>
      <c r="G666">
        <f t="shared" si="40"/>
        <v>-2.3313145166378611E-3</v>
      </c>
      <c r="H666" s="8">
        <f t="shared" si="43"/>
        <v>705382.38162818446</v>
      </c>
      <c r="I666" s="8">
        <f t="shared" si="41"/>
        <v>1067100.1647020529</v>
      </c>
      <c r="J666" s="13">
        <f t="shared" si="42"/>
        <v>-0.33897266164780737</v>
      </c>
    </row>
    <row r="667" spans="1:10" x14ac:dyDescent="0.25">
      <c r="A667" s="6">
        <v>45425</v>
      </c>
      <c r="B667">
        <f>(Prices!B593/Prices!B592)-1</f>
        <v>-2.9245001492091971E-3</v>
      </c>
      <c r="C667">
        <f>(Prices!C593/Prices!C592)-1</f>
        <v>2.4641466660095812E-3</v>
      </c>
      <c r="D667">
        <f>(Prices!D593/Prices!D592)-1</f>
        <v>4.5947436133064734E-4</v>
      </c>
      <c r="E667">
        <f>(Prices!E593/Prices!E592)-1</f>
        <v>1.5816945220636924E-4</v>
      </c>
      <c r="F667">
        <f>(Prices!F593/Prices!F592)-1</f>
        <v>2.0863026997997025E-3</v>
      </c>
      <c r="G667">
        <f t="shared" si="40"/>
        <v>4.487186060274206E-4</v>
      </c>
      <c r="H667" s="8">
        <f t="shared" si="43"/>
        <v>705698.89982718497</v>
      </c>
      <c r="I667" s="8">
        <f t="shared" si="41"/>
        <v>1067100.1647020529</v>
      </c>
      <c r="J667" s="13">
        <f t="shared" si="42"/>
        <v>-0.33867604638199594</v>
      </c>
    </row>
    <row r="668" spans="1:10" x14ac:dyDescent="0.25">
      <c r="A668" s="5">
        <v>45426</v>
      </c>
      <c r="B668">
        <f>(Prices!B592/Prices!B591)-1</f>
        <v>-6.9934214425412256E-3</v>
      </c>
      <c r="C668">
        <f>(Prices!C592/Prices!C591)-1</f>
        <v>-6.8280267247498028E-3</v>
      </c>
      <c r="D668">
        <f>(Prices!D592/Prices!D591)-1</f>
        <v>-6.0284983558641647E-3</v>
      </c>
      <c r="E668">
        <f>(Prices!E592/Prices!E591)-1</f>
        <v>-1.3779118136439283E-2</v>
      </c>
      <c r="F668">
        <f>(Prices!F592/Prices!F591)-1</f>
        <v>-4.155267109620886E-3</v>
      </c>
      <c r="G668">
        <f t="shared" si="40"/>
        <v>-7.5568663538430727E-3</v>
      </c>
      <c r="H668" s="8">
        <f t="shared" si="43"/>
        <v>700366.02755513682</v>
      </c>
      <c r="I668" s="8">
        <f t="shared" si="41"/>
        <v>1067100.1647020529</v>
      </c>
      <c r="J668" s="13">
        <f t="shared" si="42"/>
        <v>-0.34367358311608232</v>
      </c>
    </row>
    <row r="669" spans="1:10" x14ac:dyDescent="0.25">
      <c r="A669" s="6">
        <v>45427</v>
      </c>
      <c r="B669">
        <f>(Prices!B591/Prices!B590)-1</f>
        <v>-1.2581928838951373E-2</v>
      </c>
      <c r="C669">
        <f>(Prices!C591/Prices!C590)-1</f>
        <v>-1.7173782321106446E-2</v>
      </c>
      <c r="D669">
        <f>(Prices!D591/Prices!D590)-1</f>
        <v>-7.7041602465330872E-3</v>
      </c>
      <c r="E669">
        <f>(Prices!E591/Prices!E590)-1</f>
        <v>-2.9550521022343457E-3</v>
      </c>
      <c r="F669">
        <f>(Prices!F591/Prices!F590)-1</f>
        <v>-7.0874183006536251E-3</v>
      </c>
      <c r="G669">
        <f t="shared" si="40"/>
        <v>-9.5004683618957753E-3</v>
      </c>
      <c r="H669" s="8">
        <f t="shared" si="43"/>
        <v>693712.22226860258</v>
      </c>
      <c r="I669" s="8">
        <f t="shared" si="41"/>
        <v>1067100.1647020529</v>
      </c>
      <c r="J669" s="13">
        <f t="shared" si="42"/>
        <v>-0.34990899147476445</v>
      </c>
    </row>
    <row r="670" spans="1:10" x14ac:dyDescent="0.25">
      <c r="A670" s="5">
        <v>45428</v>
      </c>
      <c r="B670">
        <f>(Prices!B590/Prices!B589)-1</f>
        <v>-9.6209574591399338E-3</v>
      </c>
      <c r="C670">
        <f>(Prices!C590/Prices!C589)-1</f>
        <v>4.9552816050277837E-3</v>
      </c>
      <c r="D670">
        <f>(Prices!D590/Prices!D589)-1</f>
        <v>6.0180541624874628E-3</v>
      </c>
      <c r="E670">
        <f>(Prices!E590/Prices!E589)-1</f>
        <v>-1.811219209273518E-3</v>
      </c>
      <c r="F670">
        <f>(Prices!F590/Prices!F589)-1</f>
        <v>-7.1382219338091968E-3</v>
      </c>
      <c r="G670">
        <f t="shared" si="40"/>
        <v>-1.5194125669414802E-3</v>
      </c>
      <c r="H670" s="8">
        <f t="shared" si="43"/>
        <v>692658.18720024684</v>
      </c>
      <c r="I670" s="8">
        <f t="shared" si="41"/>
        <v>1067100.1647020529</v>
      </c>
      <c r="J670" s="13">
        <f t="shared" si="42"/>
        <v>-0.35089674792277326</v>
      </c>
    </row>
    <row r="671" spans="1:10" x14ac:dyDescent="0.25">
      <c r="A671" s="6">
        <v>45429</v>
      </c>
      <c r="B671">
        <f>(Prices!B589/Prices!B588)-1</f>
        <v>-1.0665137614679021E-2</v>
      </c>
      <c r="C671">
        <f>(Prices!C589/Prices!C588)-1</f>
        <v>1.8647228343786626E-3</v>
      </c>
      <c r="D671">
        <f>(Prices!D589/Prices!D588)-1</f>
        <v>-1.4822134387351693E-2</v>
      </c>
      <c r="E671">
        <f>(Prices!E589/Prices!E588)-1</f>
        <v>-1.1307239703248761E-2</v>
      </c>
      <c r="F671">
        <f>(Prices!F589/Prices!F588)-1</f>
        <v>-6.4074148700382638E-3</v>
      </c>
      <c r="G671">
        <f t="shared" si="40"/>
        <v>-8.2674407481878147E-3</v>
      </c>
      <c r="H671" s="8">
        <f t="shared" si="43"/>
        <v>686931.67667882156</v>
      </c>
      <c r="I671" s="8">
        <f t="shared" si="41"/>
        <v>1067100.1647020529</v>
      </c>
      <c r="J671" s="13">
        <f t="shared" si="42"/>
        <v>-0.35626317059877782</v>
      </c>
    </row>
    <row r="672" spans="1:10" x14ac:dyDescent="0.25">
      <c r="A672" s="5">
        <v>45432</v>
      </c>
      <c r="B672">
        <f>(Prices!B588/Prices!B587)-1</f>
        <v>-4.8502139800284949E-3</v>
      </c>
      <c r="C672">
        <f>(Prices!C588/Prices!C587)-1</f>
        <v>-1.2058281694858564E-2</v>
      </c>
      <c r="D672">
        <f>(Prices!D588/Prices!D587)-1</f>
        <v>8.2420070645774501E-3</v>
      </c>
      <c r="E672">
        <f>(Prices!E588/Prices!E587)-1</f>
        <v>4.7090967534554773E-2</v>
      </c>
      <c r="F672">
        <f>(Prices!F588/Prices!F587)-1</f>
        <v>1.4306151645207432E-2</v>
      </c>
      <c r="G672">
        <f t="shared" si="40"/>
        <v>1.054612611389052E-2</v>
      </c>
      <c r="H672" s="8">
        <f t="shared" si="43"/>
        <v>694176.14477270271</v>
      </c>
      <c r="I672" s="8">
        <f t="shared" si="41"/>
        <v>1067100.1647020529</v>
      </c>
      <c r="J672" s="13">
        <f t="shared" si="42"/>
        <v>-0.34947424081175649</v>
      </c>
    </row>
    <row r="673" spans="1:10" x14ac:dyDescent="0.25">
      <c r="A673" s="6">
        <v>45433</v>
      </c>
      <c r="B673">
        <f>(Prices!B587/Prices!B586)-1</f>
        <v>-5.2222285292614634E-3</v>
      </c>
      <c r="C673">
        <f>(Prices!C587/Prices!C586)-1</f>
        <v>-8.6335713099784384E-3</v>
      </c>
      <c r="D673">
        <f>(Prices!D587/Prices!D586)-1</f>
        <v>6.9311445508435376E-3</v>
      </c>
      <c r="E673">
        <f>(Prices!E587/Prices!E586)-1</f>
        <v>-1.9745825018380403E-2</v>
      </c>
      <c r="F673">
        <f>(Prices!F587/Prices!F586)-1</f>
        <v>-1.2073978355677473E-2</v>
      </c>
      <c r="G673">
        <f t="shared" si="40"/>
        <v>-7.7488917324908483E-3</v>
      </c>
      <c r="H673" s="8">
        <f t="shared" si="43"/>
        <v>688797.04898358113</v>
      </c>
      <c r="I673" s="8">
        <f t="shared" si="41"/>
        <v>1067100.1647020529</v>
      </c>
      <c r="J673" s="13">
        <f t="shared" si="42"/>
        <v>-0.35451509448890262</v>
      </c>
    </row>
    <row r="674" spans="1:10" x14ac:dyDescent="0.25">
      <c r="A674" s="5">
        <v>45434</v>
      </c>
      <c r="B674">
        <f>(Prices!B586/Prices!B585)-1</f>
        <v>8.2989926739927E-3</v>
      </c>
      <c r="C674">
        <f>(Prices!C586/Prices!C585)-1</f>
        <v>-3.4274098236656281E-3</v>
      </c>
      <c r="D674">
        <f>(Prices!D586/Prices!D585)-1</f>
        <v>2.0474639367147551E-2</v>
      </c>
      <c r="E674">
        <f>(Prices!E586/Prices!E585)-1</f>
        <v>6.0759761187720862E-3</v>
      </c>
      <c r="F674">
        <f>(Prices!F586/Prices!F585)-1</f>
        <v>4.2173560421734368E-3</v>
      </c>
      <c r="G674">
        <f t="shared" si="40"/>
        <v>7.1279108756840291E-3</v>
      </c>
      <c r="H674" s="8">
        <f t="shared" si="43"/>
        <v>693706.73296017037</v>
      </c>
      <c r="I674" s="8">
        <f t="shared" si="41"/>
        <v>1067100.1647020529</v>
      </c>
      <c r="J674" s="13">
        <f t="shared" si="42"/>
        <v>-0.34991413561082008</v>
      </c>
    </row>
    <row r="675" spans="1:10" x14ac:dyDescent="0.25">
      <c r="A675" s="6">
        <v>45435</v>
      </c>
      <c r="B675">
        <f>(Prices!B585/Prices!B584)-1</f>
        <v>1.634576231749163E-2</v>
      </c>
      <c r="C675">
        <f>(Prices!C585/Prices!C584)-1</f>
        <v>8.2459485224022355E-3</v>
      </c>
      <c r="D675">
        <f>(Prices!D585/Prices!D584)-1</f>
        <v>1.7422592557523098E-2</v>
      </c>
      <c r="E675">
        <f>(Prices!E585/Prices!E584)-1</f>
        <v>7.0767266148772379E-3</v>
      </c>
      <c r="F675">
        <f>(Prices!F585/Prices!F584)-1</f>
        <v>8.753988382557365E-3</v>
      </c>
      <c r="G675">
        <f t="shared" si="40"/>
        <v>1.1569003678970315E-2</v>
      </c>
      <c r="H675" s="8">
        <f t="shared" si="43"/>
        <v>701732.22870591306</v>
      </c>
      <c r="I675" s="8">
        <f t="shared" si="41"/>
        <v>1067100.1647020529</v>
      </c>
      <c r="J675" s="13">
        <f t="shared" si="42"/>
        <v>-0.34239328985405504</v>
      </c>
    </row>
    <row r="676" spans="1:10" x14ac:dyDescent="0.25">
      <c r="A676" s="5">
        <v>45436</v>
      </c>
      <c r="B676">
        <f>(Prices!B584/Prices!B583)-1</f>
        <v>-8.2496827045114296E-3</v>
      </c>
      <c r="C676">
        <f>(Prices!C584/Prices!C583)-1</f>
        <v>-7.3572898677579657E-3</v>
      </c>
      <c r="D676">
        <f>(Prices!D584/Prices!D583)-1</f>
        <v>7.5807827158147489E-4</v>
      </c>
      <c r="E676">
        <f>(Prices!E584/Prices!E583)-1</f>
        <v>-1.8897473376487839E-2</v>
      </c>
      <c r="F676">
        <f>(Prices!F584/Prices!F583)-1</f>
        <v>1.7036590185759204E-2</v>
      </c>
      <c r="G676">
        <f t="shared" si="40"/>
        <v>-3.3419554982833111E-3</v>
      </c>
      <c r="H676" s="8">
        <f t="shared" si="43"/>
        <v>699387.07082586677</v>
      </c>
      <c r="I676" s="8">
        <f t="shared" si="41"/>
        <v>1067100.1647020529</v>
      </c>
      <c r="J676" s="13">
        <f t="shared" si="42"/>
        <v>-0.34459098221473522</v>
      </c>
    </row>
    <row r="677" spans="1:10" x14ac:dyDescent="0.25">
      <c r="A677" s="6">
        <v>45440</v>
      </c>
      <c r="B677">
        <f>(Prices!B583/Prices!B582)-1</f>
        <v>-8.0119033993362176E-3</v>
      </c>
      <c r="C677">
        <f>(Prices!C583/Prices!C582)-1</f>
        <v>-3.7836687398029589E-4</v>
      </c>
      <c r="D677">
        <f>(Prices!D583/Prices!D582)-1</f>
        <v>-1.2538598296996328E-2</v>
      </c>
      <c r="E677">
        <f>(Prices!E583/Prices!E582)-1</f>
        <v>6.0924369747898943E-3</v>
      </c>
      <c r="F677">
        <f>(Prices!F583/Prices!F582)-1</f>
        <v>8.9195768972465395E-3</v>
      </c>
      <c r="G677">
        <f t="shared" si="40"/>
        <v>-1.183370939655282E-3</v>
      </c>
      <c r="H677" s="8">
        <f t="shared" si="43"/>
        <v>698559.43649068079</v>
      </c>
      <c r="I677" s="8">
        <f t="shared" si="41"/>
        <v>1067100.1647020529</v>
      </c>
      <c r="J677" s="13">
        <f t="shared" si="42"/>
        <v>-0.34536657419997036</v>
      </c>
    </row>
    <row r="678" spans="1:10" x14ac:dyDescent="0.25">
      <c r="A678" s="5">
        <v>45441</v>
      </c>
      <c r="B678">
        <f>(Prices!B582/Prices!B581)-1</f>
        <v>2.8696051423324764E-3</v>
      </c>
      <c r="C678">
        <f>(Prices!C582/Prices!C581)-1</f>
        <v>2.6793759188126209E-3</v>
      </c>
      <c r="D678">
        <f>(Prices!D582/Prices!D581)-1</f>
        <v>1.0877790389708819E-2</v>
      </c>
      <c r="E678">
        <f>(Prices!E582/Prices!E581)-1</f>
        <v>7.0344316919659367E-3</v>
      </c>
      <c r="F678">
        <f>(Prices!F582/Prices!F581)-1</f>
        <v>3.9101515647148588E-2</v>
      </c>
      <c r="G678">
        <f t="shared" si="40"/>
        <v>1.251254375799369E-2</v>
      </c>
      <c r="H678" s="8">
        <f t="shared" si="43"/>
        <v>707300.19200732978</v>
      </c>
      <c r="I678" s="8">
        <f t="shared" si="41"/>
        <v>1067100.1647020529</v>
      </c>
      <c r="J678" s="13">
        <f t="shared" si="42"/>
        <v>-0.33717544481420225</v>
      </c>
    </row>
    <row r="679" spans="1:10" x14ac:dyDescent="0.25">
      <c r="A679" s="6">
        <v>45442</v>
      </c>
      <c r="B679">
        <f>(Prices!B581/Prices!B580)-1</f>
        <v>2.199542495161011E-2</v>
      </c>
      <c r="C679">
        <f>(Prices!C581/Prices!C580)-1</f>
        <v>3.4970183317382109E-2</v>
      </c>
      <c r="D679">
        <f>(Prices!D581/Prices!D580)-1</f>
        <v>-3.2057326041863288E-3</v>
      </c>
      <c r="E679">
        <f>(Prices!E581/Prices!E580)-1</f>
        <v>-6.1501261564340659E-3</v>
      </c>
      <c r="F679">
        <f>(Prices!F581/Prices!F580)-1</f>
        <v>6.3866210165921533E-3</v>
      </c>
      <c r="G679">
        <f t="shared" si="40"/>
        <v>1.0799274104992797E-2</v>
      </c>
      <c r="H679" s="8">
        <f t="shared" si="43"/>
        <v>714938.52065533085</v>
      </c>
      <c r="I679" s="8">
        <f t="shared" si="41"/>
        <v>1067100.1647020529</v>
      </c>
      <c r="J679" s="13">
        <f t="shared" si="42"/>
        <v>-0.33001742075923096</v>
      </c>
    </row>
    <row r="680" spans="1:10" x14ac:dyDescent="0.25">
      <c r="A680" s="5">
        <v>45443</v>
      </c>
      <c r="B680">
        <f>(Prices!B580/Prices!B579)-1</f>
        <v>-2.2239129162521243E-3</v>
      </c>
      <c r="C680">
        <f>(Prices!C580/Prices!C579)-1</f>
        <v>-1.1031033975584803E-3</v>
      </c>
      <c r="D680">
        <f>(Prices!D580/Prices!D579)-1</f>
        <v>-2.7864344637946736E-2</v>
      </c>
      <c r="E680">
        <f>(Prices!E580/Prices!E579)-1</f>
        <v>-1.6288329282796332E-2</v>
      </c>
      <c r="F680">
        <f>(Prices!F580/Prices!F579)-1</f>
        <v>-2.7698348341940182E-2</v>
      </c>
      <c r="G680">
        <f t="shared" si="40"/>
        <v>-1.5035607715298771E-2</v>
      </c>
      <c r="H680" s="8">
        <f t="shared" si="43"/>
        <v>704188.98551820125</v>
      </c>
      <c r="I680" s="8">
        <f t="shared" si="41"/>
        <v>1067100.1647020529</v>
      </c>
      <c r="J680" s="13">
        <f t="shared" si="42"/>
        <v>-0.34009101599677927</v>
      </c>
    </row>
    <row r="681" spans="1:10" x14ac:dyDescent="0.25">
      <c r="A681" s="6">
        <v>45446</v>
      </c>
      <c r="B681">
        <f>(Prices!B579/Prices!B578)-1</f>
        <v>-3.9057945668647953E-3</v>
      </c>
      <c r="C681">
        <f>(Prices!C579/Prices!C578)-1</f>
        <v>3.8881779702726327E-3</v>
      </c>
      <c r="D681">
        <f>(Prices!D579/Prices!D578)-1</f>
        <v>2.4509343600338074E-2</v>
      </c>
      <c r="E681">
        <f>(Prices!E579/Prices!E578)-1</f>
        <v>4.0496339753905986E-3</v>
      </c>
      <c r="F681">
        <f>(Prices!F579/Prices!F578)-1</f>
        <v>-4.165072888775545E-3</v>
      </c>
      <c r="G681">
        <f t="shared" si="40"/>
        <v>4.8752576180721924E-3</v>
      </c>
      <c r="H681" s="8">
        <f t="shared" si="43"/>
        <v>707622.08823441144</v>
      </c>
      <c r="I681" s="8">
        <f t="shared" si="41"/>
        <v>1067100.1647020529</v>
      </c>
      <c r="J681" s="13">
        <f t="shared" si="42"/>
        <v>-0.33687378969528325</v>
      </c>
    </row>
    <row r="682" spans="1:10" x14ac:dyDescent="0.25">
      <c r="A682" s="5">
        <v>45447</v>
      </c>
      <c r="B682">
        <f>(Prices!B578/Prices!B577)-1</f>
        <v>-3.5434214347953574E-3</v>
      </c>
      <c r="C682">
        <f>(Prices!C578/Prices!C577)-1</f>
        <v>-6.114562441911664E-3</v>
      </c>
      <c r="D682">
        <f>(Prices!D578/Prices!D577)-1</f>
        <v>1.5835161690355815E-2</v>
      </c>
      <c r="E682">
        <f>(Prices!E578/Prices!E577)-1</f>
        <v>1.3310185185185119E-2</v>
      </c>
      <c r="F682">
        <f>(Prices!F578/Prices!F577)-1</f>
        <v>-1.5934755332496886E-2</v>
      </c>
      <c r="G682">
        <f t="shared" si="40"/>
        <v>7.1052153326740548E-4</v>
      </c>
      <c r="H682" s="8">
        <f t="shared" si="43"/>
        <v>708124.86896551761</v>
      </c>
      <c r="I682" s="8">
        <f t="shared" si="41"/>
        <v>1067100.1647020529</v>
      </c>
      <c r="J682" s="13">
        <f t="shared" si="42"/>
        <v>-0.33640262424358774</v>
      </c>
    </row>
    <row r="683" spans="1:10" x14ac:dyDescent="0.25">
      <c r="A683" s="6">
        <v>45448</v>
      </c>
      <c r="B683">
        <f>(Prices!B577/Prices!B576)-1</f>
        <v>-9.2656537753221802E-3</v>
      </c>
      <c r="C683">
        <f>(Prices!C577/Prices!C576)-1</f>
        <v>-1.8743850049199651E-2</v>
      </c>
      <c r="D683">
        <f>(Prices!D577/Prices!D576)-1</f>
        <v>-3.9904988123515839E-3</v>
      </c>
      <c r="E683">
        <f>(Prices!E577/Prices!E576)-1</f>
        <v>9.6674811431001206E-3</v>
      </c>
      <c r="F683">
        <f>(Prices!F577/Prices!F576)-1</f>
        <v>4.727387330601962E-3</v>
      </c>
      <c r="G683">
        <f t="shared" si="40"/>
        <v>-3.5210268326342671E-3</v>
      </c>
      <c r="H683" s="8">
        <f t="shared" si="43"/>
        <v>705631.54230103444</v>
      </c>
      <c r="I683" s="8">
        <f t="shared" si="41"/>
        <v>1067100.1647020529</v>
      </c>
      <c r="J683" s="13">
        <f t="shared" si="42"/>
        <v>-0.33873916840969176</v>
      </c>
    </row>
    <row r="684" spans="1:10" x14ac:dyDescent="0.25">
      <c r="A684" s="5">
        <v>45449</v>
      </c>
      <c r="B684">
        <f>(Prices!B576/Prices!B575)-1</f>
        <v>-7.4260253627328465E-3</v>
      </c>
      <c r="C684">
        <f>(Prices!C576/Prices!C575)-1</f>
        <v>-1.1985521490039952E-3</v>
      </c>
      <c r="D684">
        <f>(Prices!D576/Prices!D575)-1</f>
        <v>-7.450018860807317E-3</v>
      </c>
      <c r="E684">
        <f>(Prices!E576/Prices!E575)-1</f>
        <v>1.7559729686584813E-3</v>
      </c>
      <c r="F684">
        <f>(Prices!F576/Prices!F575)-1</f>
        <v>2.3798492060149723E-3</v>
      </c>
      <c r="G684">
        <f t="shared" si="40"/>
        <v>-2.3877548395741409E-3</v>
      </c>
      <c r="H684" s="8">
        <f t="shared" si="43"/>
        <v>703946.66717094905</v>
      </c>
      <c r="I684" s="8">
        <f t="shared" si="41"/>
        <v>1067100.1647020529</v>
      </c>
      <c r="J684" s="13">
        <f t="shared" si="42"/>
        <v>-0.34031809716054223</v>
      </c>
    </row>
    <row r="685" spans="1:10" x14ac:dyDescent="0.25">
      <c r="A685" s="6">
        <v>45450</v>
      </c>
      <c r="B685">
        <f>(Prices!B575/Prices!B574)-1</f>
        <v>1.2961462793658285E-2</v>
      </c>
      <c r="C685">
        <f>(Prices!C575/Prices!C574)-1</f>
        <v>1.5845958080238365E-3</v>
      </c>
      <c r="D685">
        <f>(Prices!D575/Prices!D574)-1</f>
        <v>1.0771137165189293E-2</v>
      </c>
      <c r="E685">
        <f>(Prices!E575/Prices!E574)-1</f>
        <v>-1.5196771996017433E-2</v>
      </c>
      <c r="F685">
        <f>(Prices!F575/Prices!F574)-1</f>
        <v>2.2878069797501066E-2</v>
      </c>
      <c r="G685">
        <f t="shared" si="40"/>
        <v>6.5996987136710105E-3</v>
      </c>
      <c r="H685" s="8">
        <f t="shared" si="43"/>
        <v>708592.50308477005</v>
      </c>
      <c r="I685" s="8">
        <f t="shared" si="41"/>
        <v>1067100.1647020529</v>
      </c>
      <c r="J685" s="13">
        <f t="shared" si="42"/>
        <v>-0.33596439535494071</v>
      </c>
    </row>
    <row r="686" spans="1:10" x14ac:dyDescent="0.25">
      <c r="A686" s="5">
        <v>45453</v>
      </c>
      <c r="B686">
        <f>(Prices!B574/Prices!B573)-1</f>
        <v>-4.2636552200968625E-3</v>
      </c>
      <c r="C686">
        <f>(Prices!C574/Prices!C573)-1</f>
        <v>-9.3944727203538747E-3</v>
      </c>
      <c r="D686">
        <f>(Prices!D574/Prices!D573)-1</f>
        <v>-2.8514399771885079E-3</v>
      </c>
      <c r="E686">
        <f>(Prices!E574/Prices!E573)-1</f>
        <v>1.6797018529213226E-3</v>
      </c>
      <c r="F686">
        <f>(Prices!F574/Prices!F573)-1</f>
        <v>-8.6915668311017269E-3</v>
      </c>
      <c r="G686">
        <f t="shared" si="40"/>
        <v>-4.7042865791639297E-3</v>
      </c>
      <c r="H686" s="8">
        <f t="shared" si="43"/>
        <v>705259.08088241227</v>
      </c>
      <c r="I686" s="8">
        <f t="shared" si="41"/>
        <v>1067100.1647020529</v>
      </c>
      <c r="J686" s="13">
        <f t="shared" si="42"/>
        <v>-0.33908820913795945</v>
      </c>
    </row>
    <row r="687" spans="1:10" x14ac:dyDescent="0.25">
      <c r="A687" s="6">
        <v>45454</v>
      </c>
      <c r="B687">
        <f>(Prices!B573/Prices!B572)-1</f>
        <v>-9.134505594884601E-3</v>
      </c>
      <c r="C687">
        <f>(Prices!C573/Prices!C572)-1</f>
        <v>-1.1101180676419409E-2</v>
      </c>
      <c r="D687">
        <f>(Prices!D573/Prices!D572)-1</f>
        <v>8.0482897384304142E-3</v>
      </c>
      <c r="E687">
        <f>(Prices!E573/Prices!E572)-1</f>
        <v>2.7008086253369257E-2</v>
      </c>
      <c r="F687">
        <f>(Prices!F573/Prices!F572)-1</f>
        <v>-2.4710819504506487E-3</v>
      </c>
      <c r="G687">
        <f t="shared" si="40"/>
        <v>2.4699215540090027E-3</v>
      </c>
      <c r="H687" s="8">
        <f t="shared" si="43"/>
        <v>707001.01548744424</v>
      </c>
      <c r="I687" s="8">
        <f t="shared" si="41"/>
        <v>1067100.1647020529</v>
      </c>
      <c r="J687" s="13">
        <f t="shared" si="42"/>
        <v>-0.33745580886041066</v>
      </c>
    </row>
    <row r="688" spans="1:10" x14ac:dyDescent="0.25">
      <c r="A688" s="5">
        <v>45455</v>
      </c>
      <c r="B688">
        <f>(Prices!B572/Prices!B571)-1</f>
        <v>-6.5789473684210176E-3</v>
      </c>
      <c r="C688">
        <f>(Prices!C572/Prices!C571)-1</f>
        <v>-1.9011582298924856E-2</v>
      </c>
      <c r="D688">
        <f>(Prices!D572/Prices!D571)-1</f>
        <v>1.1239221005716615E-2</v>
      </c>
      <c r="E688">
        <f>(Prices!E572/Prices!E571)-1</f>
        <v>1.4825756332403239E-2</v>
      </c>
      <c r="F688">
        <f>(Prices!F572/Prices!F571)-1</f>
        <v>6.3886804587844903E-3</v>
      </c>
      <c r="G688">
        <f t="shared" si="40"/>
        <v>1.3726256259116944E-3</v>
      </c>
      <c r="H688" s="8">
        <f t="shared" si="43"/>
        <v>707971.46319884784</v>
      </c>
      <c r="I688" s="8">
        <f t="shared" si="41"/>
        <v>1067100.1647020529</v>
      </c>
      <c r="J688" s="13">
        <f t="shared" si="42"/>
        <v>-0.33654638372535356</v>
      </c>
    </row>
    <row r="689" spans="1:10" x14ac:dyDescent="0.25">
      <c r="A689" s="6">
        <v>45456</v>
      </c>
      <c r="B689">
        <f>(Prices!B571/Prices!B570)-1</f>
        <v>1.5025041736226985E-2</v>
      </c>
      <c r="C689">
        <f>(Prices!C571/Prices!C570)-1</f>
        <v>-1.175304772659147E-3</v>
      </c>
      <c r="D689">
        <f>(Prices!D571/Prices!D570)-1</f>
        <v>8.1070521586246169E-3</v>
      </c>
      <c r="E689">
        <f>(Prices!E571/Prices!E570)-1</f>
        <v>-1.1037169290699644E-2</v>
      </c>
      <c r="F689">
        <f>(Prices!F571/Prices!F570)-1</f>
        <v>-8.502497608672499E-3</v>
      </c>
      <c r="G689">
        <f t="shared" si="40"/>
        <v>4.8342444456406296E-4</v>
      </c>
      <c r="H689" s="8">
        <f t="shared" si="43"/>
        <v>708313.71391021204</v>
      </c>
      <c r="I689" s="8">
        <f t="shared" si="41"/>
        <v>1067100.1647020529</v>
      </c>
      <c r="J689" s="13">
        <f t="shared" si="42"/>
        <v>-0.3362256540294119</v>
      </c>
    </row>
    <row r="690" spans="1:10" x14ac:dyDescent="0.25">
      <c r="A690" s="5">
        <v>45457</v>
      </c>
      <c r="B690">
        <f>(Prices!B570/Prices!B569)-1</f>
        <v>-9.1832078485054591E-3</v>
      </c>
      <c r="C690">
        <f>(Prices!C570/Prices!C569)-1</f>
        <v>-2.2303977925959284E-3</v>
      </c>
      <c r="D690">
        <f>(Prices!D570/Prices!D569)-1</f>
        <v>8.4712371946413789E-3</v>
      </c>
      <c r="E690">
        <f>(Prices!E570/Prices!E569)-1</f>
        <v>-5.9478749864816383E-4</v>
      </c>
      <c r="F690">
        <f>(Prices!F570/Prices!F569)-1</f>
        <v>3.6148677383684991E-4</v>
      </c>
      <c r="G690">
        <f t="shared" si="40"/>
        <v>-6.3513383425426416E-4</v>
      </c>
      <c r="H690" s="8">
        <f t="shared" si="43"/>
        <v>707863.83990524139</v>
      </c>
      <c r="I690" s="8">
        <f t="shared" si="41"/>
        <v>1067100.1647020529</v>
      </c>
      <c r="J690" s="13">
        <f t="shared" si="42"/>
        <v>-0.33664723957484782</v>
      </c>
    </row>
    <row r="691" spans="1:10" x14ac:dyDescent="0.25">
      <c r="A691" s="6">
        <v>45460</v>
      </c>
      <c r="B691">
        <f>(Prices!B569/Prices!B568)-1</f>
        <v>-2.5601638504865187E-3</v>
      </c>
      <c r="C691">
        <f>(Prices!C569/Prices!C568)-1</f>
        <v>-1.2936904221516166E-2</v>
      </c>
      <c r="D691">
        <f>(Prices!D569/Prices!D568)-1</f>
        <v>6.9430668518151162E-3</v>
      </c>
      <c r="E691">
        <f>(Prices!E569/Prices!E568)-1</f>
        <v>-6.1798054704712557E-3</v>
      </c>
      <c r="F691">
        <f>(Prices!F569/Prices!F568)-1</f>
        <v>1.1833555660742734E-2</v>
      </c>
      <c r="G691">
        <f t="shared" si="40"/>
        <v>-5.8005020598321782E-4</v>
      </c>
      <c r="H691" s="8">
        <f t="shared" si="43"/>
        <v>707453.24333909631</v>
      </c>
      <c r="I691" s="8">
        <f t="shared" si="41"/>
        <v>1067100.1647020529</v>
      </c>
      <c r="J691" s="13">
        <f t="shared" si="42"/>
        <v>-0.33703201748017192</v>
      </c>
    </row>
    <row r="692" spans="1:10" x14ac:dyDescent="0.25">
      <c r="A692" s="5">
        <v>45461</v>
      </c>
      <c r="B692">
        <f>(Prices!B568/Prices!B567)-1</f>
        <v>1.2266758811333878E-2</v>
      </c>
      <c r="C692">
        <f>(Prices!C568/Prices!C567)-1</f>
        <v>4.5370602585441677E-3</v>
      </c>
      <c r="D692">
        <f>(Prices!D568/Prices!D567)-1</f>
        <v>-9.3347744915004416E-3</v>
      </c>
      <c r="E692">
        <f>(Prices!E568/Prices!E567)-1</f>
        <v>-1.0212222754108713E-2</v>
      </c>
      <c r="F692">
        <f>(Prices!F568/Prices!F567)-1</f>
        <v>1.7001816152819371E-2</v>
      </c>
      <c r="G692">
        <f t="shared" si="40"/>
        <v>2.8517275954176523E-3</v>
      </c>
      <c r="H692" s="8">
        <f t="shared" si="43"/>
        <v>709470.70727559412</v>
      </c>
      <c r="I692" s="8">
        <f t="shared" si="41"/>
        <v>1067100.1647020529</v>
      </c>
      <c r="J692" s="13">
        <f t="shared" si="42"/>
        <v>-0.33514141338954179</v>
      </c>
    </row>
    <row r="693" spans="1:10" x14ac:dyDescent="0.25">
      <c r="A693" s="6">
        <v>45463</v>
      </c>
      <c r="B693">
        <f>(Prices!B567/Prices!B566)-1</f>
        <v>-6.8634179821551733E-3</v>
      </c>
      <c r="C693">
        <f>(Prices!C567/Prices!C566)-1</f>
        <v>1.4384218457463849E-3</v>
      </c>
      <c r="D693">
        <f>(Prices!D567/Prices!D566)-1</f>
        <v>-2.1159949985572801E-2</v>
      </c>
      <c r="E693">
        <f>(Prices!E567/Prices!E566)-1</f>
        <v>-8.4383735035072904E-3</v>
      </c>
      <c r="F693">
        <f>(Prices!F567/Prices!F566)-1</f>
        <v>-7.1475124918531918E-3</v>
      </c>
      <c r="G693">
        <f t="shared" si="40"/>
        <v>-8.4341664234684147E-3</v>
      </c>
      <c r="H693" s="8">
        <f t="shared" si="43"/>
        <v>703486.91325785592</v>
      </c>
      <c r="I693" s="8">
        <f t="shared" si="41"/>
        <v>1067100.1647020529</v>
      </c>
      <c r="J693" s="13">
        <f t="shared" si="42"/>
        <v>-0.34074894135708633</v>
      </c>
    </row>
    <row r="694" spans="1:10" x14ac:dyDescent="0.25">
      <c r="A694" s="5">
        <v>45464</v>
      </c>
      <c r="B694">
        <f>(Prices!B566/Prices!B565)-1</f>
        <v>-1.8524755810036986E-2</v>
      </c>
      <c r="C694">
        <f>(Prices!C566/Prices!C565)-1</f>
        <v>-9.0726034525667743E-3</v>
      </c>
      <c r="D694">
        <f>(Prices!D566/Prices!D565)-1</f>
        <v>8.9277049975740042E-3</v>
      </c>
      <c r="E694">
        <f>(Prices!E566/Prices!E565)-1</f>
        <v>1.2062983720309672E-2</v>
      </c>
      <c r="F694">
        <f>(Prices!F566/Prices!F565)-1</f>
        <v>3.9915370689467267E-3</v>
      </c>
      <c r="G694">
        <f t="shared" si="40"/>
        <v>-5.2302669515467027E-4</v>
      </c>
      <c r="H694" s="8">
        <f t="shared" si="43"/>
        <v>703118.9708225301</v>
      </c>
      <c r="I694" s="8">
        <f t="shared" si="41"/>
        <v>1067100.1647020529</v>
      </c>
      <c r="J694" s="13">
        <f t="shared" si="42"/>
        <v>-0.34109374725956559</v>
      </c>
    </row>
    <row r="695" spans="1:10" x14ac:dyDescent="0.25">
      <c r="A695" s="6">
        <v>45467</v>
      </c>
      <c r="B695">
        <f>(Prices!B565/Prices!B564)-1</f>
        <v>2.3068699713046925E-3</v>
      </c>
      <c r="C695">
        <f>(Prices!C565/Prices!C564)-1</f>
        <v>4.7054009819966769E-3</v>
      </c>
      <c r="D695">
        <f>(Prices!D565/Prices!D564)-1</f>
        <v>-2.8929513758009895E-2</v>
      </c>
      <c r="E695">
        <f>(Prices!E565/Prices!E564)-1</f>
        <v>-1.2960328749802463E-2</v>
      </c>
      <c r="F695">
        <f>(Prices!F565/Prices!F564)-1</f>
        <v>-1.5080882510902449E-2</v>
      </c>
      <c r="G695">
        <f t="shared" si="40"/>
        <v>-9.991690813082689E-3</v>
      </c>
      <c r="H695" s="8">
        <f t="shared" si="43"/>
        <v>696093.62346125848</v>
      </c>
      <c r="I695" s="8">
        <f t="shared" si="41"/>
        <v>1067100.1647020529</v>
      </c>
      <c r="J695" s="13">
        <f t="shared" si="42"/>
        <v>-0.34767733481175489</v>
      </c>
    </row>
    <row r="696" spans="1:10" x14ac:dyDescent="0.25">
      <c r="A696" s="5">
        <v>45468</v>
      </c>
      <c r="B696">
        <f>(Prices!B564/Prices!B563)-1</f>
        <v>-2.6136986301369958E-2</v>
      </c>
      <c r="C696">
        <f>(Prices!C564/Prices!C563)-1</f>
        <v>-7.2663266687728045E-3</v>
      </c>
      <c r="D696">
        <f>(Prices!D564/Prices!D563)-1</f>
        <v>-2.7253077718258911E-3</v>
      </c>
      <c r="E696">
        <f>(Prices!E564/Prices!E563)-1</f>
        <v>4.0732120186204313E-3</v>
      </c>
      <c r="F696">
        <f>(Prices!F564/Prices!F563)-1</f>
        <v>1.1319197010515314E-2</v>
      </c>
      <c r="G696">
        <f t="shared" si="40"/>
        <v>-4.1472423425665816E-3</v>
      </c>
      <c r="H696" s="8">
        <f t="shared" si="43"/>
        <v>693206.75451164937</v>
      </c>
      <c r="I696" s="8">
        <f t="shared" si="41"/>
        <v>1067100.1647020529</v>
      </c>
      <c r="J696" s="13">
        <f t="shared" si="42"/>
        <v>-0.35038267498983944</v>
      </c>
    </row>
    <row r="697" spans="1:10" x14ac:dyDescent="0.25">
      <c r="A697" s="6">
        <v>45469</v>
      </c>
      <c r="B697">
        <f>(Prices!B563/Prices!B562)-1</f>
        <v>7.6771221759153185E-4</v>
      </c>
      <c r="C697">
        <f>(Prices!C563/Prices!C562)-1</f>
        <v>-2.6781896338307076E-3</v>
      </c>
      <c r="D697">
        <f>(Prices!D563/Prices!D562)-1</f>
        <v>-3.757632691404611E-4</v>
      </c>
      <c r="E697">
        <f>(Prices!E563/Prices!E562)-1</f>
        <v>3.2372764421799705E-3</v>
      </c>
      <c r="F697">
        <f>(Prices!F563/Prices!F562)-1</f>
        <v>9.3508752854187804E-4</v>
      </c>
      <c r="G697">
        <f t="shared" si="40"/>
        <v>3.7722465706844241E-4</v>
      </c>
      <c r="H697" s="8">
        <f t="shared" si="43"/>
        <v>693468.24919189746</v>
      </c>
      <c r="I697" s="8">
        <f t="shared" si="41"/>
        <v>1067100.1647020529</v>
      </c>
      <c r="J697" s="13">
        <f t="shared" si="42"/>
        <v>-0.3501376233171869</v>
      </c>
    </row>
    <row r="698" spans="1:10" x14ac:dyDescent="0.25">
      <c r="A698" s="5">
        <v>45470</v>
      </c>
      <c r="B698">
        <f>(Prices!B562/Prices!B561)-1</f>
        <v>-8.2123239245118773E-3</v>
      </c>
      <c r="C698">
        <f>(Prices!C562/Prices!C561)-1</f>
        <v>-1.5280555493135672E-3</v>
      </c>
      <c r="D698">
        <f>(Prices!D562/Prices!D561)-1</f>
        <v>-4.3026845009820347E-3</v>
      </c>
      <c r="E698">
        <f>(Prices!E562/Prices!E561)-1</f>
        <v>-8.7327055605239678E-3</v>
      </c>
      <c r="F698">
        <f>(Prices!F562/Prices!F561)-1</f>
        <v>-4.9336766710664781E-3</v>
      </c>
      <c r="G698">
        <f t="shared" si="40"/>
        <v>-5.5418892412795852E-3</v>
      </c>
      <c r="H698" s="8">
        <f t="shared" si="43"/>
        <v>689625.12496253185</v>
      </c>
      <c r="I698" s="8">
        <f t="shared" si="41"/>
        <v>1067100.1647020529</v>
      </c>
      <c r="J698" s="13">
        <f t="shared" si="42"/>
        <v>-0.35373908863083781</v>
      </c>
    </row>
    <row r="699" spans="1:10" x14ac:dyDescent="0.25">
      <c r="A699" s="6">
        <v>45471</v>
      </c>
      <c r="B699">
        <f>(Prices!B561/Prices!B560)-1</f>
        <v>1.7880868024800822E-2</v>
      </c>
      <c r="C699">
        <f>(Prices!C561/Prices!C560)-1</f>
        <v>1.3205528107283593E-2</v>
      </c>
      <c r="D699">
        <f>(Prices!D561/Prices!D560)-1</f>
        <v>-1.867239286714617E-3</v>
      </c>
      <c r="E699">
        <f>(Prices!E561/Prices!E560)-1</f>
        <v>-1.523079314096254E-2</v>
      </c>
      <c r="F699">
        <f>(Prices!F561/Prices!F560)-1</f>
        <v>-4.4810979516752503E-2</v>
      </c>
      <c r="G699">
        <f t="shared" si="40"/>
        <v>-6.1645231624690485E-3</v>
      </c>
      <c r="H699" s="8">
        <f t="shared" si="43"/>
        <v>685373.91490627965</v>
      </c>
      <c r="I699" s="8">
        <f t="shared" si="41"/>
        <v>1067100.1647020529</v>
      </c>
      <c r="J699" s="13">
        <f t="shared" si="42"/>
        <v>-0.3577229789879714</v>
      </c>
    </row>
    <row r="700" spans="1:10" x14ac:dyDescent="0.25">
      <c r="A700" s="5">
        <v>45474</v>
      </c>
      <c r="B700">
        <f>(Prices!B560/Prices!B559)-1</f>
        <v>-4.5737587480024766E-3</v>
      </c>
      <c r="C700">
        <f>(Prices!C560/Prices!C559)-1</f>
        <v>-2.1411701795820193E-2</v>
      </c>
      <c r="D700">
        <f>(Prices!D560/Prices!D559)-1</f>
        <v>1.4023934181002229E-3</v>
      </c>
      <c r="E700">
        <f>(Prices!E560/Prices!E559)-1</f>
        <v>-1.5554875560995551E-2</v>
      </c>
      <c r="F700">
        <f>(Prices!F560/Prices!F559)-1</f>
        <v>2.9536313919094281E-2</v>
      </c>
      <c r="G700">
        <f t="shared" si="40"/>
        <v>-2.1203257535247419E-3</v>
      </c>
      <c r="H700" s="8">
        <f t="shared" si="43"/>
        <v>683920.69894370984</v>
      </c>
      <c r="I700" s="8">
        <f t="shared" si="41"/>
        <v>1067100.1647020529</v>
      </c>
      <c r="J700" s="13">
        <f t="shared" si="42"/>
        <v>-0.35908481549652033</v>
      </c>
    </row>
    <row r="701" spans="1:10" x14ac:dyDescent="0.25">
      <c r="A701" s="6">
        <v>45475</v>
      </c>
      <c r="B701">
        <f>(Prices!B559/Prices!B558)-1</f>
        <v>-1.2139357648339621E-2</v>
      </c>
      <c r="C701">
        <f>(Prices!C559/Prices!C558)-1</f>
        <v>-5.5393069219179525E-3</v>
      </c>
      <c r="D701">
        <f>(Prices!D559/Prices!D558)-1</f>
        <v>6.777108433734913E-3</v>
      </c>
      <c r="E701">
        <f>(Prices!E559/Prices!E558)-1</f>
        <v>-1.6205910390848399E-2</v>
      </c>
      <c r="F701">
        <f>(Prices!F559/Prices!F558)-1</f>
        <v>-7.2041238855790057E-3</v>
      </c>
      <c r="G701">
        <f t="shared" si="40"/>
        <v>-6.8623180825900121E-3</v>
      </c>
      <c r="H701" s="8">
        <f t="shared" si="43"/>
        <v>679227.41756429081</v>
      </c>
      <c r="I701" s="8">
        <f t="shared" si="41"/>
        <v>1067100.1647020529</v>
      </c>
      <c r="J701" s="13">
        <f t="shared" si="42"/>
        <v>-0.36348297935654506</v>
      </c>
    </row>
    <row r="702" spans="1:10" x14ac:dyDescent="0.25">
      <c r="A702" s="5">
        <v>45476</v>
      </c>
      <c r="B702">
        <f>(Prices!B558/Prices!B557)-1</f>
        <v>-3.1473844150207153E-3</v>
      </c>
      <c r="C702">
        <f>(Prices!C558/Prices!C557)-1</f>
        <v>-3.2465381302591023E-3</v>
      </c>
      <c r="D702">
        <f>(Prices!D558/Prices!D557)-1</f>
        <v>-5.0571268027721494E-3</v>
      </c>
      <c r="E702">
        <f>(Prices!E558/Prices!E557)-1</f>
        <v>7.0291710599001966E-4</v>
      </c>
      <c r="F702">
        <f>(Prices!F558/Prices!F557)-1</f>
        <v>1.7060593038246585E-2</v>
      </c>
      <c r="G702">
        <f t="shared" si="40"/>
        <v>1.2624921592369275E-3</v>
      </c>
      <c r="H702" s="8">
        <f t="shared" si="43"/>
        <v>680084.93685330451</v>
      </c>
      <c r="I702" s="8">
        <f t="shared" si="41"/>
        <v>1067100.1647020529</v>
      </c>
      <c r="J702" s="13">
        <f t="shared" si="42"/>
        <v>-0.36267938160876179</v>
      </c>
    </row>
    <row r="703" spans="1:10" x14ac:dyDescent="0.25">
      <c r="A703" s="6">
        <v>45478</v>
      </c>
      <c r="B703">
        <f>(Prices!B557/Prices!B556)-1</f>
        <v>-2.507671145910495E-2</v>
      </c>
      <c r="C703">
        <f>(Prices!C557/Prices!C556)-1</f>
        <v>-1.4517041744656733E-2</v>
      </c>
      <c r="D703">
        <f>(Prices!D557/Prices!D556)-1</f>
        <v>1.2324611300720489E-2</v>
      </c>
      <c r="E703">
        <f>(Prices!E557/Prices!E556)-1</f>
        <v>1.3433063654403776E-2</v>
      </c>
      <c r="F703">
        <f>(Prices!F557/Prices!F556)-1</f>
        <v>3.8393511927872215E-3</v>
      </c>
      <c r="G703">
        <f t="shared" si="40"/>
        <v>-1.9993454111700386E-3</v>
      </c>
      <c r="H703" s="8">
        <f t="shared" si="43"/>
        <v>678725.21215560101</v>
      </c>
      <c r="I703" s="8">
        <f t="shared" si="41"/>
        <v>1067100.1647020529</v>
      </c>
      <c r="J703" s="13">
        <f t="shared" si="42"/>
        <v>-0.36395360566258639</v>
      </c>
    </row>
    <row r="704" spans="1:10" x14ac:dyDescent="0.25">
      <c r="A704" s="5">
        <v>45481</v>
      </c>
      <c r="B704">
        <f>(Prices!B556/Prices!B555)-1</f>
        <v>8.3217753120665705E-3</v>
      </c>
      <c r="C704">
        <f>(Prices!C556/Prices!C555)-1</f>
        <v>2.8374367033350278E-3</v>
      </c>
      <c r="D704">
        <f>(Prices!D556/Prices!D555)-1</f>
        <v>1.0538417321326099E-2</v>
      </c>
      <c r="E704">
        <f>(Prices!E556/Prices!E555)-1</f>
        <v>-1.8791264601321078E-3</v>
      </c>
      <c r="F704">
        <f>(Prices!F556/Prices!F555)-1</f>
        <v>-2.7103768714507037E-3</v>
      </c>
      <c r="G704">
        <f t="shared" si="40"/>
        <v>3.4216252010289766E-3</v>
      </c>
      <c r="H704" s="8">
        <f t="shared" si="43"/>
        <v>681047.55544608645</v>
      </c>
      <c r="I704" s="8">
        <f t="shared" si="41"/>
        <v>1067100.1647020529</v>
      </c>
      <c r="J704" s="13">
        <f t="shared" si="42"/>
        <v>-0.36177729329069774</v>
      </c>
    </row>
    <row r="705" spans="1:10" x14ac:dyDescent="0.25">
      <c r="A705" s="6">
        <v>45482</v>
      </c>
      <c r="B705">
        <f>(Prices!B555/Prices!B554)-1</f>
        <v>2.6679472813628813E-4</v>
      </c>
      <c r="C705">
        <f>(Prices!C555/Prices!C554)-1</f>
        <v>1.4571061605917146E-2</v>
      </c>
      <c r="D705">
        <f>(Prices!D555/Prices!D554)-1</f>
        <v>1.1238132144933077E-2</v>
      </c>
      <c r="E705">
        <f>(Prices!E555/Prices!E554)-1</f>
        <v>-1.1843822141925031E-2</v>
      </c>
      <c r="F705">
        <f>(Prices!F555/Prices!F554)-1</f>
        <v>-5.6255481166178622E-3</v>
      </c>
      <c r="G705">
        <f t="shared" si="40"/>
        <v>1.7213236440887241E-3</v>
      </c>
      <c r="H705" s="8">
        <f t="shared" si="43"/>
        <v>682219.85870602459</v>
      </c>
      <c r="I705" s="8">
        <f t="shared" si="41"/>
        <v>1067100.1647020529</v>
      </c>
      <c r="J705" s="13">
        <f t="shared" si="42"/>
        <v>-0.36067870545544478</v>
      </c>
    </row>
    <row r="706" spans="1:10" x14ac:dyDescent="0.25">
      <c r="A706" s="5">
        <v>45483</v>
      </c>
      <c r="B706">
        <f>(Prices!B554/Prices!B553)-1</f>
        <v>-1.1550632911392356E-2</v>
      </c>
      <c r="C706">
        <f>(Prices!C554/Prices!C553)-1</f>
        <v>-1.4383307505947629E-2</v>
      </c>
      <c r="D706">
        <f>(Prices!D554/Prices!D553)-1</f>
        <v>-8.7390761548065132E-3</v>
      </c>
      <c r="E706">
        <f>(Prices!E554/Prices!E553)-1</f>
        <v>-8.0232674756797184E-4</v>
      </c>
      <c r="F706">
        <f>(Prices!F554/Prices!F553)-1</f>
        <v>-1.7609111349261353E-2</v>
      </c>
      <c r="G706">
        <f t="shared" ref="G706:G769" si="44">B706*20%+C706*20%+D706*20%+E706*20%+F706*20%</f>
        <v>-1.0616890933795167E-2</v>
      </c>
      <c r="H706" s="8">
        <f t="shared" si="43"/>
        <v>674976.80487327359</v>
      </c>
      <c r="I706" s="8">
        <f t="shared" ref="I706:I769" si="45">MAX(I705,H706)</f>
        <v>1067100.1647020529</v>
      </c>
      <c r="J706" s="13">
        <f t="shared" ref="J706:J769" si="46">(H706-I706)/I706</f>
        <v>-0.36746630991127704</v>
      </c>
    </row>
    <row r="707" spans="1:10" x14ac:dyDescent="0.25">
      <c r="A707" s="6">
        <v>45484</v>
      </c>
      <c r="B707">
        <f>(Prices!B553/Prices!B552)-1</f>
        <v>3.0266804325381758E-2</v>
      </c>
      <c r="C707">
        <f>(Prices!C553/Prices!C552)-1</f>
        <v>2.5401727765095528E-2</v>
      </c>
      <c r="D707">
        <f>(Prices!D553/Prices!D552)-1</f>
        <v>-1.1768055423745039E-2</v>
      </c>
      <c r="E707">
        <f>(Prices!E553/Prices!E552)-1</f>
        <v>1.6575418152593446E-3</v>
      </c>
      <c r="F707">
        <f>(Prices!F553/Prices!F552)-1</f>
        <v>-6.8037149118229667E-3</v>
      </c>
      <c r="G707">
        <f t="shared" si="44"/>
        <v>7.7508607140337254E-3</v>
      </c>
      <c r="H707" s="8">
        <f t="shared" si="43"/>
        <v>680208.45607304992</v>
      </c>
      <c r="I707" s="8">
        <f t="shared" si="45"/>
        <v>1067100.1647020529</v>
      </c>
      <c r="J707" s="13">
        <f t="shared" si="46"/>
        <v>-0.3625636293824655</v>
      </c>
    </row>
    <row r="708" spans="1:10" x14ac:dyDescent="0.25">
      <c r="A708" s="5">
        <v>45485</v>
      </c>
      <c r="B708">
        <f>(Prices!B552/Prices!B551)-1</f>
        <v>2.669717772692648E-3</v>
      </c>
      <c r="C708">
        <f>(Prices!C552/Prices!C551)-1</f>
        <v>2.5353945567547775E-3</v>
      </c>
      <c r="D708">
        <f>(Prices!D552/Prices!D551)-1</f>
        <v>-1.8977132555264564E-4</v>
      </c>
      <c r="E708">
        <f>(Prices!E552/Prices!E551)-1</f>
        <v>1.2253406548708545E-2</v>
      </c>
      <c r="F708">
        <f>(Prices!F552/Prices!F551)-1</f>
        <v>-1.4013499053420087E-2</v>
      </c>
      <c r="G708">
        <f t="shared" si="44"/>
        <v>6.5104969983664817E-4</v>
      </c>
      <c r="H708" s="8">
        <f t="shared" ref="H708:H771" si="47">H707*(1+G708)</f>
        <v>680651.30558420264</v>
      </c>
      <c r="I708" s="8">
        <f t="shared" si="45"/>
        <v>1067100.1647020529</v>
      </c>
      <c r="J708" s="13">
        <f t="shared" si="46"/>
        <v>-0.36214862662470998</v>
      </c>
    </row>
    <row r="709" spans="1:10" x14ac:dyDescent="0.25">
      <c r="A709" s="6">
        <v>45488</v>
      </c>
      <c r="B709">
        <f>(Prices!B551/Prices!B550)-1</f>
        <v>-7.7846253649043184E-3</v>
      </c>
      <c r="C709">
        <f>(Prices!C551/Prices!C550)-1</f>
        <v>-9.1907644026012481E-4</v>
      </c>
      <c r="D709">
        <f>(Prices!D551/Prices!D550)-1</f>
        <v>-1.6792611251049472E-2</v>
      </c>
      <c r="E709">
        <f>(Prices!E551/Prices!E550)-1</f>
        <v>-2.43079670602242E-2</v>
      </c>
      <c r="F709">
        <f>(Prices!F551/Prices!F550)-1</f>
        <v>-7.4549130940954056E-3</v>
      </c>
      <c r="G709">
        <f t="shared" si="44"/>
        <v>-1.1451838642106704E-2</v>
      </c>
      <c r="H709" s="8">
        <f t="shared" si="47"/>
        <v>672856.59666111309</v>
      </c>
      <c r="I709" s="8">
        <f t="shared" si="45"/>
        <v>1067100.1647020529</v>
      </c>
      <c r="J709" s="13">
        <f t="shared" si="46"/>
        <v>-0.36945319763024997</v>
      </c>
    </row>
    <row r="710" spans="1:10" x14ac:dyDescent="0.25">
      <c r="A710" s="5">
        <v>45489</v>
      </c>
      <c r="B710">
        <f>(Prices!B550/Prices!B549)-1</f>
        <v>1.4144736842105265E-2</v>
      </c>
      <c r="C710">
        <f>(Prices!C550/Prices!C549)-1</f>
        <v>9.8929210150997537E-3</v>
      </c>
      <c r="D710">
        <f>(Prices!D550/Prices!D549)-1</f>
        <v>-7.2242289524868664E-3</v>
      </c>
      <c r="E710">
        <f>(Prices!E550/Prices!E549)-1</f>
        <v>-1.6730891176040097E-2</v>
      </c>
      <c r="F710">
        <f>(Prices!F550/Prices!F549)-1</f>
        <v>-6.1042497698680642E-2</v>
      </c>
      <c r="G710">
        <f t="shared" si="44"/>
        <v>-1.2191991994000517E-2</v>
      </c>
      <c r="H710" s="8">
        <f t="shared" si="47"/>
        <v>664653.13442151027</v>
      </c>
      <c r="I710" s="8">
        <f t="shared" si="45"/>
        <v>1067100.1647020529</v>
      </c>
      <c r="J710" s="13">
        <f t="shared" si="46"/>
        <v>-0.37714081919658465</v>
      </c>
    </row>
    <row r="711" spans="1:10" x14ac:dyDescent="0.25">
      <c r="A711" s="6">
        <v>45490</v>
      </c>
      <c r="B711">
        <f>(Prices!B549/Prices!B548)-1</f>
        <v>1.6042780748663166E-2</v>
      </c>
      <c r="C711">
        <f>(Prices!C549/Prices!C548)-1</f>
        <v>1.3514133627019254E-2</v>
      </c>
      <c r="D711">
        <f>(Prices!D549/Prices!D548)-1</f>
        <v>-1.3612278457884153E-2</v>
      </c>
      <c r="E711">
        <f>(Prices!E549/Prices!E548)-1</f>
        <v>-1.499063085571517E-2</v>
      </c>
      <c r="F711">
        <f>(Prices!F549/Prices!F548)-1</f>
        <v>-4.2579365807979608E-2</v>
      </c>
      <c r="G711">
        <f t="shared" si="44"/>
        <v>-8.3250721491793037E-3</v>
      </c>
      <c r="H711" s="8">
        <f t="shared" si="47"/>
        <v>659119.84912327304</v>
      </c>
      <c r="I711" s="8">
        <f t="shared" si="45"/>
        <v>1067100.1647020529</v>
      </c>
      <c r="J711" s="13">
        <f t="shared" si="46"/>
        <v>-0.38232616681555182</v>
      </c>
    </row>
    <row r="712" spans="1:10" x14ac:dyDescent="0.25">
      <c r="A712" s="5">
        <v>45491</v>
      </c>
      <c r="B712">
        <f>(Prices!B548/Prices!B547)-1</f>
        <v>1.8726591760299671E-2</v>
      </c>
      <c r="C712">
        <f>(Prices!C548/Prices!C547)-1</f>
        <v>7.163654850487422E-3</v>
      </c>
      <c r="D712">
        <f>(Prices!D548/Prices!D547)-1</f>
        <v>-9.7702189252760752E-3</v>
      </c>
      <c r="E712">
        <f>(Prices!E548/Prices!E547)-1</f>
        <v>3.2851967644285773E-2</v>
      </c>
      <c r="F712">
        <f>(Prices!F548/Prices!F547)-1</f>
        <v>1.5854363680450678E-2</v>
      </c>
      <c r="G712">
        <f t="shared" si="44"/>
        <v>1.2965271802049493E-2</v>
      </c>
      <c r="H712" s="8">
        <f t="shared" si="47"/>
        <v>667665.51711728214</v>
      </c>
      <c r="I712" s="8">
        <f t="shared" si="45"/>
        <v>1067100.1647020529</v>
      </c>
      <c r="J712" s="13">
        <f t="shared" si="46"/>
        <v>-0.37431785768330167</v>
      </c>
    </row>
    <row r="713" spans="1:10" x14ac:dyDescent="0.25">
      <c r="A713" s="6">
        <v>45492</v>
      </c>
      <c r="B713">
        <f>(Prices!B547/Prices!B546)-1</f>
        <v>1.7027073046138597E-4</v>
      </c>
      <c r="C713">
        <f>(Prices!C547/Prices!C546)-1</f>
        <v>7.4498300507519488E-3</v>
      </c>
      <c r="D713">
        <f>(Prices!D547/Prices!D546)-1</f>
        <v>2.3518518518518494E-2</v>
      </c>
      <c r="E713">
        <f>(Prices!E547/Prices!E546)-1</f>
        <v>9.4377111066967778E-4</v>
      </c>
      <c r="F713">
        <f>(Prices!F547/Prices!F546)-1</f>
        <v>-1.7502373992217546E-3</v>
      </c>
      <c r="G713">
        <f t="shared" si="44"/>
        <v>6.0664306022359515E-3</v>
      </c>
      <c r="H713" s="8">
        <f t="shared" si="47"/>
        <v>671715.86364238011</v>
      </c>
      <c r="I713" s="8">
        <f t="shared" si="45"/>
        <v>1067100.1647020529</v>
      </c>
      <c r="J713" s="13">
        <f t="shared" si="46"/>
        <v>-0.37052220038787909</v>
      </c>
    </row>
    <row r="714" spans="1:10" x14ac:dyDescent="0.25">
      <c r="A714" s="5">
        <v>45495</v>
      </c>
      <c r="B714">
        <f>(Prices!B546/Prices!B545)-1</f>
        <v>-2.2035968028419228E-2</v>
      </c>
      <c r="C714">
        <f>(Prices!C546/Prices!C545)-1</f>
        <v>-1.3164242883727306E-2</v>
      </c>
      <c r="D714">
        <f>(Prices!D546/Prices!D545)-1</f>
        <v>6.9930069930070893E-3</v>
      </c>
      <c r="E714">
        <f>(Prices!E546/Prices!E545)-1</f>
        <v>-2.3785926660060408E-3</v>
      </c>
      <c r="F714">
        <f>(Prices!F546/Prices!F545)-1</f>
        <v>1.217466689282154E-2</v>
      </c>
      <c r="G714">
        <f t="shared" si="44"/>
        <v>-3.6822259384647897E-3</v>
      </c>
      <c r="H714" s="8">
        <f t="shared" si="47"/>
        <v>669242.45406599785</v>
      </c>
      <c r="I714" s="8">
        <f t="shared" si="45"/>
        <v>1067100.1647020529</v>
      </c>
      <c r="J714" s="13">
        <f t="shared" si="46"/>
        <v>-0.37284007986929857</v>
      </c>
    </row>
    <row r="715" spans="1:10" x14ac:dyDescent="0.25">
      <c r="A715" s="6">
        <v>45496</v>
      </c>
      <c r="B715">
        <f>(Prices!B545/Prices!B544)-1</f>
        <v>-6.6563124029295206E-4</v>
      </c>
      <c r="C715">
        <f>(Prices!C545/Prices!C544)-1</f>
        <v>-4.2778057372924172E-3</v>
      </c>
      <c r="D715">
        <f>(Prices!D545/Prices!D544)-1</f>
        <v>1.6394996209249557E-2</v>
      </c>
      <c r="E715">
        <f>(Prices!E545/Prices!E544)-1</f>
        <v>-2.4770869457513278E-4</v>
      </c>
      <c r="F715">
        <f>(Prices!F545/Prices!F544)-1</f>
        <v>6.8883069566207933E-3</v>
      </c>
      <c r="G715">
        <f t="shared" si="44"/>
        <v>3.6184314987419697E-3</v>
      </c>
      <c r="H715" s="8">
        <f t="shared" si="47"/>
        <v>671664.06204208569</v>
      </c>
      <c r="I715" s="8">
        <f t="shared" si="45"/>
        <v>1067100.1647020529</v>
      </c>
      <c r="J715" s="13">
        <f t="shared" si="46"/>
        <v>-0.37057074465954909</v>
      </c>
    </row>
    <row r="716" spans="1:10" x14ac:dyDescent="0.25">
      <c r="A716" s="5">
        <v>45497</v>
      </c>
      <c r="B716">
        <f>(Prices!B544/Prices!B543)-1</f>
        <v>5.3037383177570119E-2</v>
      </c>
      <c r="C716">
        <f>(Prices!C544/Prices!C543)-1</f>
        <v>3.7179395923790493E-2</v>
      </c>
      <c r="D716">
        <f>(Prices!D544/Prices!D543)-1</f>
        <v>-1.3923932342771783E-2</v>
      </c>
      <c r="E716">
        <f>(Prices!E544/Prices!E543)-1</f>
        <v>8.3424917574181912E-3</v>
      </c>
      <c r="F716">
        <f>(Prices!F544/Prices!F543)-1</f>
        <v>-9.0076536848636701E-3</v>
      </c>
      <c r="G716">
        <f t="shared" si="44"/>
        <v>1.5125536966228674E-2</v>
      </c>
      <c r="H716" s="8">
        <f t="shared" si="47"/>
        <v>681823.34164139058</v>
      </c>
      <c r="I716" s="8">
        <f t="shared" si="45"/>
        <v>1067100.1647020529</v>
      </c>
      <c r="J716" s="13">
        <f t="shared" si="46"/>
        <v>-0.36105028919027132</v>
      </c>
    </row>
    <row r="717" spans="1:10" x14ac:dyDescent="0.25">
      <c r="A717" s="6">
        <v>45498</v>
      </c>
      <c r="B717">
        <f>(Prices!B543/Prices!B542)-1</f>
        <v>3.2009162698173554E-2</v>
      </c>
      <c r="C717">
        <f>(Prices!C543/Prices!C542)-1</f>
        <v>2.5100328347318568E-2</v>
      </c>
      <c r="D717">
        <f>(Prices!D543/Prices!D542)-1</f>
        <v>-2.0593080724876422E-2</v>
      </c>
      <c r="E717">
        <f>(Prices!E543/Prices!E542)-1</f>
        <v>-3.9948067512229901E-4</v>
      </c>
      <c r="F717">
        <f>(Prices!F543/Prices!F542)-1</f>
        <v>1.128434673034473E-4</v>
      </c>
      <c r="G717">
        <f t="shared" si="44"/>
        <v>7.245954622559371E-3</v>
      </c>
      <c r="H717" s="8">
        <f t="shared" si="47"/>
        <v>686763.80263552594</v>
      </c>
      <c r="I717" s="8">
        <f t="shared" si="45"/>
        <v>1067100.1647020529</v>
      </c>
      <c r="J717" s="13">
        <f t="shared" si="46"/>
        <v>-0.35642048857964653</v>
      </c>
    </row>
    <row r="718" spans="1:10" x14ac:dyDescent="0.25">
      <c r="A718" s="5">
        <v>45499</v>
      </c>
      <c r="B718">
        <f>(Prices!B542/Prices!B541)-1</f>
        <v>1.6302378939740958E-3</v>
      </c>
      <c r="C718">
        <f>(Prices!C542/Prices!C541)-1</f>
        <v>-1.6152189519023641E-2</v>
      </c>
      <c r="D718">
        <f>(Prices!D542/Prices!D541)-1</f>
        <v>8.2440230832658834E-4</v>
      </c>
      <c r="E718">
        <f>(Prices!E542/Prices!E541)-1</f>
        <v>-1.6791044776119479E-2</v>
      </c>
      <c r="F718">
        <f>(Prices!F542/Prices!F541)-1</f>
        <v>-1.7607715615992836E-2</v>
      </c>
      <c r="G718">
        <f t="shared" si="44"/>
        <v>-9.6192619417670554E-3</v>
      </c>
      <c r="H718" s="8">
        <f t="shared" si="47"/>
        <v>680157.64172585076</v>
      </c>
      <c r="I718" s="8">
        <f t="shared" si="45"/>
        <v>1067100.1647020529</v>
      </c>
      <c r="J718" s="13">
        <f t="shared" si="46"/>
        <v>-0.36261124848035342</v>
      </c>
    </row>
    <row r="719" spans="1:10" x14ac:dyDescent="0.25">
      <c r="A719" s="6">
        <v>45502</v>
      </c>
      <c r="B719">
        <f>(Prices!B541/Prices!B540)-1</f>
        <v>-1.4870330716155178E-2</v>
      </c>
      <c r="C719">
        <f>(Prices!C541/Prices!C540)-1</f>
        <v>-3.4339676634711491E-3</v>
      </c>
      <c r="D719">
        <f>(Prices!D541/Prices!D540)-1</f>
        <v>1.0646176633956728E-2</v>
      </c>
      <c r="E719">
        <f>(Prices!E541/Prices!E540)-1</f>
        <v>6.5727699530517825E-3</v>
      </c>
      <c r="F719">
        <f>(Prices!F541/Prices!F540)-1</f>
        <v>5.2375468964749317E-3</v>
      </c>
      <c r="G719">
        <f t="shared" si="44"/>
        <v>8.3043902077142308E-4</v>
      </c>
      <c r="H719" s="8">
        <f t="shared" si="47"/>
        <v>680722.47117181576</v>
      </c>
      <c r="I719" s="8">
        <f t="shared" si="45"/>
        <v>1067100.1647020529</v>
      </c>
      <c r="J719" s="13">
        <f t="shared" si="46"/>
        <v>-0.36208193598969074</v>
      </c>
    </row>
    <row r="720" spans="1:10" x14ac:dyDescent="0.25">
      <c r="A720" s="5">
        <v>45503</v>
      </c>
      <c r="B720">
        <f>(Prices!B540/Prices!B539)-1</f>
        <v>-4.5002368545712379E-3</v>
      </c>
      <c r="C720">
        <f>(Prices!C540/Prices!C539)-1</f>
        <v>9.0233162491879515E-3</v>
      </c>
      <c r="D720">
        <f>(Prices!D540/Prices!D539)-1</f>
        <v>-1.7553433378808658E-2</v>
      </c>
      <c r="E720">
        <f>(Prices!E540/Prices!E539)-1</f>
        <v>-2.0144302939325009E-2</v>
      </c>
      <c r="F720">
        <f>(Prices!F540/Prices!F539)-1</f>
        <v>-1.6620397428404488E-2</v>
      </c>
      <c r="G720">
        <f t="shared" si="44"/>
        <v>-9.959010870384288E-3</v>
      </c>
      <c r="H720" s="8">
        <f t="shared" si="47"/>
        <v>673943.14868170081</v>
      </c>
      <c r="I720" s="8">
        <f t="shared" si="45"/>
        <v>1067100.1647020529</v>
      </c>
      <c r="J720" s="13">
        <f t="shared" si="46"/>
        <v>-0.36843496892358391</v>
      </c>
    </row>
    <row r="721" spans="1:10" x14ac:dyDescent="0.25">
      <c r="A721" s="6">
        <v>45504</v>
      </c>
      <c r="B721">
        <f>(Prices!B539/Prices!B538)-1</f>
        <v>-7.2889724900071506E-3</v>
      </c>
      <c r="C721">
        <f>(Prices!C539/Prices!C538)-1</f>
        <v>1.092191680856236E-2</v>
      </c>
      <c r="D721">
        <f>(Prices!D539/Prices!D538)-1</f>
        <v>-3.5345296356715794E-3</v>
      </c>
      <c r="E721">
        <f>(Prices!E539/Prices!E538)-1</f>
        <v>1.12133973166193E-2</v>
      </c>
      <c r="F721">
        <f>(Prices!F539/Prices!F538)-1</f>
        <v>2.9231218941827564E-4</v>
      </c>
      <c r="G721">
        <f t="shared" si="44"/>
        <v>2.3208248377842413E-3</v>
      </c>
      <c r="H721" s="8">
        <f t="shared" si="47"/>
        <v>675507.25268041575</v>
      </c>
      <c r="I721" s="8">
        <f t="shared" si="45"/>
        <v>1067100.1647020529</v>
      </c>
      <c r="J721" s="13">
        <f t="shared" si="46"/>
        <v>-0.36696921711278585</v>
      </c>
    </row>
    <row r="722" spans="1:10" x14ac:dyDescent="0.25">
      <c r="A722" s="5">
        <v>45505</v>
      </c>
      <c r="B722">
        <f>(Prices!B538/Prices!B537)-1</f>
        <v>4.6061178693752591E-3</v>
      </c>
      <c r="C722">
        <f>(Prices!C538/Prices!C537)-1</f>
        <v>2.9764809212453613E-3</v>
      </c>
      <c r="D722">
        <f>(Prices!D538/Prices!D537)-1</f>
        <v>1.4061207609594728E-2</v>
      </c>
      <c r="E722">
        <f>(Prices!E538/Prices!E537)-1</f>
        <v>2.3300095204690008E-2</v>
      </c>
      <c r="F722">
        <f>(Prices!F538/Prices!F537)-1</f>
        <v>5.917594736648768E-3</v>
      </c>
      <c r="G722">
        <f t="shared" si="44"/>
        <v>1.0172299268310826E-2</v>
      </c>
      <c r="H722" s="8">
        <f t="shared" si="47"/>
        <v>682378.71461259539</v>
      </c>
      <c r="I722" s="8">
        <f t="shared" si="45"/>
        <v>1067100.1647020529</v>
      </c>
      <c r="J722" s="13">
        <f t="shared" si="46"/>
        <v>-0.36052983854320403</v>
      </c>
    </row>
    <row r="723" spans="1:10" x14ac:dyDescent="0.25">
      <c r="A723" s="6">
        <v>45506</v>
      </c>
      <c r="B723">
        <f>(Prices!B537/Prices!B536)-1</f>
        <v>2.4564375605033995E-2</v>
      </c>
      <c r="C723">
        <f>(Prices!C537/Prices!C536)-1</f>
        <v>2.1100620313395213E-2</v>
      </c>
      <c r="D723">
        <f>(Prices!D537/Prices!D536)-1</f>
        <v>5.5172413793114217E-4</v>
      </c>
      <c r="E723">
        <f>(Prices!E537/Prices!E536)-1</f>
        <v>4.426769923080931E-2</v>
      </c>
      <c r="F723">
        <f>(Prices!F537/Prices!F536)-1</f>
        <v>-2.8928348353707611E-2</v>
      </c>
      <c r="G723">
        <f t="shared" si="44"/>
        <v>1.2311214186692409E-2</v>
      </c>
      <c r="H723" s="8">
        <f t="shared" si="47"/>
        <v>690779.62512463087</v>
      </c>
      <c r="I723" s="8">
        <f t="shared" si="45"/>
        <v>1067100.1647020529</v>
      </c>
      <c r="J723" s="13">
        <f t="shared" si="46"/>
        <v>-0.35265718441951066</v>
      </c>
    </row>
    <row r="724" spans="1:10" x14ac:dyDescent="0.25">
      <c r="A724" s="5">
        <v>45509</v>
      </c>
      <c r="B724">
        <f>(Prices!B536/Prices!B535)-1</f>
        <v>4.653960615462549E-2</v>
      </c>
      <c r="C724">
        <f>(Prices!C536/Prices!C535)-1</f>
        <v>3.3735932631145271E-2</v>
      </c>
      <c r="D724">
        <f>(Prices!D536/Prices!D535)-1</f>
        <v>1.8353778443674473E-2</v>
      </c>
      <c r="E724">
        <f>(Prices!E536/Prices!E535)-1</f>
        <v>2.1760051325919738E-2</v>
      </c>
      <c r="F724">
        <f>(Prices!F536/Prices!F535)-1</f>
        <v>3.4868044397658116E-2</v>
      </c>
      <c r="G724">
        <f t="shared" si="44"/>
        <v>3.1051482590604623E-2</v>
      </c>
      <c r="H724" s="8">
        <f t="shared" si="47"/>
        <v>712229.35662813263</v>
      </c>
      <c r="I724" s="8">
        <f t="shared" si="45"/>
        <v>1067100.1647020529</v>
      </c>
      <c r="J724" s="13">
        <f t="shared" si="46"/>
        <v>-0.33255623025136022</v>
      </c>
    </row>
    <row r="725" spans="1:10" x14ac:dyDescent="0.25">
      <c r="A725" s="6">
        <v>45510</v>
      </c>
      <c r="B725">
        <f>(Prices!B535/Prices!B534)-1</f>
        <v>6.0517263345649663E-3</v>
      </c>
      <c r="C725">
        <f>(Prices!C535/Prices!C534)-1</f>
        <v>-1.1153836359469316E-2</v>
      </c>
      <c r="D725">
        <f>(Prices!D535/Prices!D534)-1</f>
        <v>5.3662210506497665E-3</v>
      </c>
      <c r="E725">
        <f>(Prices!E535/Prices!E534)-1</f>
        <v>-2.7150733381878678E-2</v>
      </c>
      <c r="F725">
        <f>(Prices!F535/Prices!F534)-1</f>
        <v>2.8336481831314764E-3</v>
      </c>
      <c r="G725">
        <f t="shared" si="44"/>
        <v>-4.8105948346003572E-3</v>
      </c>
      <c r="H725" s="8">
        <f t="shared" si="47"/>
        <v>708803.10976408666</v>
      </c>
      <c r="I725" s="8">
        <f t="shared" si="45"/>
        <v>1067100.1647020529</v>
      </c>
      <c r="J725" s="13">
        <f t="shared" si="46"/>
        <v>-0.33576703180249912</v>
      </c>
    </row>
    <row r="726" spans="1:10" x14ac:dyDescent="0.25">
      <c r="A726" s="5">
        <v>45511</v>
      </c>
      <c r="B726">
        <f>(Prices!B534/Prices!B533)-1</f>
        <v>-4.0603984265956683E-3</v>
      </c>
      <c r="C726">
        <f>(Prices!C534/Prices!C533)-1</f>
        <v>2.962735933389693E-3</v>
      </c>
      <c r="D726">
        <f>(Prices!D534/Prices!D533)-1</f>
        <v>-1.3100436681222627E-2</v>
      </c>
      <c r="E726">
        <f>(Prices!E534/Prices!E533)-1</f>
        <v>-3.1198003327792545E-4</v>
      </c>
      <c r="F726">
        <f>(Prices!F534/Prices!F533)-1</f>
        <v>3.9978430242288976E-3</v>
      </c>
      <c r="G726">
        <f t="shared" si="44"/>
        <v>-2.1024472366955259E-3</v>
      </c>
      <c r="H726" s="8">
        <f t="shared" si="47"/>
        <v>707312.888624602</v>
      </c>
      <c r="I726" s="8">
        <f t="shared" si="45"/>
        <v>1067100.1647020529</v>
      </c>
      <c r="J726" s="13">
        <f t="shared" si="46"/>
        <v>-0.337163546571008</v>
      </c>
    </row>
    <row r="727" spans="1:10" x14ac:dyDescent="0.25">
      <c r="A727" s="6">
        <v>45512</v>
      </c>
      <c r="B727">
        <f>(Prices!B533/Prices!B532)-1</f>
        <v>-1.9105109216503768E-2</v>
      </c>
      <c r="C727">
        <f>(Prices!C533/Prices!C532)-1</f>
        <v>-1.0563291299183764E-2</v>
      </c>
      <c r="D727">
        <f>(Prices!D533/Prices!D532)-1</f>
        <v>-1.878019874190906E-2</v>
      </c>
      <c r="E727">
        <f>(Prices!E533/Prices!E532)-1</f>
        <v>-1.7923709339733529E-2</v>
      </c>
      <c r="F727">
        <f>(Prices!F533/Prices!F532)-1</f>
        <v>-2.7884150648793682E-4</v>
      </c>
      <c r="G727">
        <f t="shared" si="44"/>
        <v>-1.3330230020763613E-2</v>
      </c>
      <c r="H727" s="8">
        <f t="shared" si="47"/>
        <v>697884.24512258533</v>
      </c>
      <c r="I727" s="8">
        <f t="shared" si="45"/>
        <v>1067100.1647020529</v>
      </c>
      <c r="J727" s="13">
        <f t="shared" si="46"/>
        <v>-0.34599930896136361</v>
      </c>
    </row>
    <row r="728" spans="1:10" x14ac:dyDescent="0.25">
      <c r="A728" s="5">
        <v>45513</v>
      </c>
      <c r="B728">
        <f>(Prices!B532/Prices!B531)-1</f>
        <v>-9.9809007454870757E-3</v>
      </c>
      <c r="C728">
        <f>(Prices!C532/Prices!C531)-1</f>
        <v>-8.2207574124665284E-3</v>
      </c>
      <c r="D728">
        <f>(Prices!D532/Prices!D531)-1</f>
        <v>-8.0484716947006874E-3</v>
      </c>
      <c r="E728">
        <f>(Prices!E532/Prices!E531)-1</f>
        <v>-8.4556962025316151E-3</v>
      </c>
      <c r="F728">
        <f>(Prices!F532/Prices!F531)-1</f>
        <v>1.339411864438711E-2</v>
      </c>
      <c r="G728">
        <f t="shared" si="44"/>
        <v>-4.2623414821597594E-3</v>
      </c>
      <c r="H728" s="8">
        <f t="shared" si="47"/>
        <v>694909.62415485363</v>
      </c>
      <c r="I728" s="8">
        <f t="shared" si="45"/>
        <v>1067100.1647020529</v>
      </c>
      <c r="J728" s="13">
        <f t="shared" si="46"/>
        <v>-0.34878688323613871</v>
      </c>
    </row>
    <row r="729" spans="1:10" x14ac:dyDescent="0.25">
      <c r="A729" s="6">
        <v>45516</v>
      </c>
      <c r="B729">
        <f>(Prices!B531/Prices!B530)-1</f>
        <v>8.512489126382583E-3</v>
      </c>
      <c r="C729">
        <f>(Prices!C531/Prices!C530)-1</f>
        <v>-1.9261556934160318E-3</v>
      </c>
      <c r="D729">
        <f>(Prices!D531/Prices!D530)-1</f>
        <v>-1.2644508670520693E-3</v>
      </c>
      <c r="E729">
        <f>(Prices!E531/Prices!E530)-1</f>
        <v>-1.9203557711744423E-3</v>
      </c>
      <c r="F729">
        <f>(Prices!F531/Prices!F530)-1</f>
        <v>-1.1563384477878635E-2</v>
      </c>
      <c r="G729">
        <f t="shared" si="44"/>
        <v>-1.6323715366277193E-3</v>
      </c>
      <c r="H729" s="8">
        <f t="shared" si="47"/>
        <v>693775.27346385457</v>
      </c>
      <c r="I729" s="8">
        <f t="shared" si="45"/>
        <v>1067100.1647020529</v>
      </c>
      <c r="J729" s="13">
        <f t="shared" si="46"/>
        <v>-0.34984990499222268</v>
      </c>
    </row>
    <row r="730" spans="1:10" x14ac:dyDescent="0.25">
      <c r="A730" s="5">
        <v>45517</v>
      </c>
      <c r="B730">
        <f>(Prices!B530/Prices!B529)-1</f>
        <v>-1.14250614250615E-2</v>
      </c>
      <c r="C730">
        <f>(Prices!C530/Prices!C529)-1</f>
        <v>-1.7402418641234818E-2</v>
      </c>
      <c r="D730">
        <f>(Prices!D530/Prices!D529)-1</f>
        <v>9.6662411088819233E-3</v>
      </c>
      <c r="E730">
        <f>(Prices!E530/Prices!E529)-1</f>
        <v>-8.4185207456404232E-3</v>
      </c>
      <c r="F730">
        <f>(Prices!F530/Prices!F529)-1</f>
        <v>-1.5580892326868767E-2</v>
      </c>
      <c r="G730">
        <f t="shared" si="44"/>
        <v>-8.6321304059847181E-3</v>
      </c>
      <c r="H730" s="8">
        <f t="shared" si="47"/>
        <v>687786.51483086683</v>
      </c>
      <c r="I730" s="8">
        <f t="shared" si="45"/>
        <v>1067100.1647020529</v>
      </c>
      <c r="J730" s="13">
        <f t="shared" si="46"/>
        <v>-0.35546208539579321</v>
      </c>
    </row>
    <row r="731" spans="1:10" x14ac:dyDescent="0.25">
      <c r="A731" s="6">
        <v>45518</v>
      </c>
      <c r="B731">
        <f>(Prices!B529/Prices!B528)-1</f>
        <v>2.3641851106639855E-2</v>
      </c>
      <c r="C731">
        <f>(Prices!C529/Prices!C528)-1</f>
        <v>-6.8352699931647498E-3</v>
      </c>
      <c r="D731">
        <f>(Prices!D529/Prices!D528)-1</f>
        <v>-9.1262311376163474E-3</v>
      </c>
      <c r="E731">
        <f>(Prices!E529/Prices!E528)-1</f>
        <v>-1.090404440919901E-2</v>
      </c>
      <c r="F731">
        <f>(Prices!F529/Prices!F528)-1</f>
        <v>-9.3698928636282153E-3</v>
      </c>
      <c r="G731">
        <f t="shared" si="44"/>
        <v>-2.5187174593936925E-3</v>
      </c>
      <c r="H731" s="8">
        <f t="shared" si="47"/>
        <v>686054.17492762674</v>
      </c>
      <c r="I731" s="8">
        <f t="shared" si="45"/>
        <v>1067100.1647020529</v>
      </c>
      <c r="J731" s="13">
        <f t="shared" si="46"/>
        <v>-0.35708549429454806</v>
      </c>
    </row>
    <row r="732" spans="1:10" x14ac:dyDescent="0.25">
      <c r="A732" s="5">
        <v>45519</v>
      </c>
      <c r="B732">
        <f>(Prices!B528/Prices!B527)-1</f>
        <v>-5.7514378594649695E-3</v>
      </c>
      <c r="C732">
        <f>(Prices!C528/Prices!C527)-1</f>
        <v>-1.1677282377919429E-2</v>
      </c>
      <c r="D732">
        <f>(Prices!D528/Prices!D527)-1</f>
        <v>-6.196120689655138E-3</v>
      </c>
      <c r="E732">
        <f>(Prices!E528/Prices!E527)-1</f>
        <v>-6.2062850950646009E-3</v>
      </c>
      <c r="F732">
        <f>(Prices!F528/Prices!F527)-1</f>
        <v>1.0896411448513277E-4</v>
      </c>
      <c r="G732">
        <f t="shared" si="44"/>
        <v>-5.9444323815238016E-3</v>
      </c>
      <c r="H732" s="8">
        <f t="shared" si="47"/>
        <v>681975.9722747074</v>
      </c>
      <c r="I732" s="8">
        <f t="shared" si="45"/>
        <v>1067100.1647020529</v>
      </c>
      <c r="J732" s="13">
        <f t="shared" si="46"/>
        <v>-0.36090725610081487</v>
      </c>
    </row>
    <row r="733" spans="1:10" x14ac:dyDescent="0.25">
      <c r="A733" s="6">
        <v>45520</v>
      </c>
      <c r="B733">
        <f>(Prices!B527/Prices!B526)-1</f>
        <v>-1.0209764247261943E-2</v>
      </c>
      <c r="C733">
        <f>(Prices!C527/Prices!C526)-1</f>
        <v>6.117098747451255E-3</v>
      </c>
      <c r="D733">
        <f>(Prices!D527/Prices!D526)-1</f>
        <v>4.7820987097355605E-3</v>
      </c>
      <c r="E733">
        <f>(Prices!E527/Prices!E526)-1</f>
        <v>-1.1298334469659999E-2</v>
      </c>
      <c r="F733">
        <f>(Prices!F527/Prices!F526)-1</f>
        <v>3.3344873453473589E-3</v>
      </c>
      <c r="G733">
        <f t="shared" si="44"/>
        <v>-1.4548827828775534E-3</v>
      </c>
      <c r="H733" s="8">
        <f t="shared" si="47"/>
        <v>680983.77717430878</v>
      </c>
      <c r="I733" s="8">
        <f t="shared" si="45"/>
        <v>1067100.1647020529</v>
      </c>
      <c r="J733" s="13">
        <f t="shared" si="46"/>
        <v>-0.36183706113057573</v>
      </c>
    </row>
    <row r="734" spans="1:10" x14ac:dyDescent="0.25">
      <c r="A734" s="5">
        <v>45523</v>
      </c>
      <c r="B734">
        <f>(Prices!B526/Prices!B525)-1</f>
        <v>-2.2263899812450694E-2</v>
      </c>
      <c r="C734">
        <f>(Prices!C526/Prices!C525)-1</f>
        <v>-7.2535364002218605E-3</v>
      </c>
      <c r="D734">
        <f>(Prices!D526/Prices!D525)-1</f>
        <v>-3.0583790590986704E-3</v>
      </c>
      <c r="E734">
        <f>(Prices!E526/Prices!E525)-1</f>
        <v>-6.8678661249758077E-3</v>
      </c>
      <c r="F734">
        <f>(Prices!F526/Prices!F525)-1</f>
        <v>-1.891424934073016E-3</v>
      </c>
      <c r="G734">
        <f t="shared" si="44"/>
        <v>-8.2670212661640121E-3</v>
      </c>
      <c r="H734" s="8">
        <f t="shared" si="47"/>
        <v>675354.06980649615</v>
      </c>
      <c r="I734" s="8">
        <f t="shared" si="45"/>
        <v>1067100.1647020529</v>
      </c>
      <c r="J734" s="13">
        <f t="shared" si="46"/>
        <v>-0.36711276771748691</v>
      </c>
    </row>
    <row r="735" spans="1:10" x14ac:dyDescent="0.25">
      <c r="A735" s="6">
        <v>45524</v>
      </c>
      <c r="B735">
        <f>(Prices!B525/Prices!B524)-1</f>
        <v>-3.0158634417033481E-3</v>
      </c>
      <c r="C735">
        <f>(Prices!C525/Prices!C524)-1</f>
        <v>-7.6998493507735022E-3</v>
      </c>
      <c r="D735">
        <f>(Prices!D525/Prices!D524)-1</f>
        <v>3.4428212524425517E-2</v>
      </c>
      <c r="E735">
        <f>(Prices!E525/Prices!E524)-1</f>
        <v>4.3231165298489582E-3</v>
      </c>
      <c r="F735">
        <f>(Prices!F525/Prices!F524)-1</f>
        <v>-3.2268005728477434E-3</v>
      </c>
      <c r="G735">
        <f t="shared" si="44"/>
        <v>4.9617631377899757E-3</v>
      </c>
      <c r="H735" s="8">
        <f t="shared" si="47"/>
        <v>678705.01673501846</v>
      </c>
      <c r="I735" s="8">
        <f t="shared" si="45"/>
        <v>1067100.1647020529</v>
      </c>
      <c r="J735" s="13">
        <f t="shared" si="46"/>
        <v>-0.36397253117796963</v>
      </c>
    </row>
    <row r="736" spans="1:10" x14ac:dyDescent="0.25">
      <c r="A736" s="5">
        <v>45525</v>
      </c>
      <c r="B736">
        <f>(Prices!B524/Prices!B523)-1</f>
        <v>7.9644941634240407E-3</v>
      </c>
      <c r="C736">
        <f>(Prices!C524/Prices!C523)-1</f>
        <v>1.5567370790821045E-3</v>
      </c>
      <c r="D736">
        <f>(Prices!D524/Prices!D523)-1</f>
        <v>6.461884247986438E-3</v>
      </c>
      <c r="E736">
        <f>(Prices!E524/Prices!E523)-1</f>
        <v>-3.8844379703806275E-4</v>
      </c>
      <c r="F736">
        <f>(Prices!F524/Prices!F523)-1</f>
        <v>4.4611966932517344E-3</v>
      </c>
      <c r="G736">
        <f t="shared" si="44"/>
        <v>4.0111736773412515E-3</v>
      </c>
      <c r="H736" s="8">
        <f t="shared" si="47"/>
        <v>681427.42043282534</v>
      </c>
      <c r="I736" s="8">
        <f t="shared" si="45"/>
        <v>1067100.1647020529</v>
      </c>
      <c r="J736" s="13">
        <f t="shared" si="46"/>
        <v>-0.3614213145369648</v>
      </c>
    </row>
    <row r="737" spans="1:10" x14ac:dyDescent="0.25">
      <c r="A737" s="6">
        <v>45526</v>
      </c>
      <c r="B737">
        <f>(Prices!B523/Prices!B522)-1</f>
        <v>1.25584831322334E-2</v>
      </c>
      <c r="C737">
        <f>(Prices!C523/Prices!C522)-1</f>
        <v>2.0655601456892159E-2</v>
      </c>
      <c r="D737">
        <f>(Prices!D523/Prices!D522)-1</f>
        <v>-7.7130378217638018E-3</v>
      </c>
      <c r="E737">
        <f>(Prices!E523/Prices!E522)-1</f>
        <v>-9.3795093795094875E-3</v>
      </c>
      <c r="F737">
        <f>(Prices!F523/Prices!F522)-1</f>
        <v>-1.1095145419159902E-3</v>
      </c>
      <c r="G737">
        <f t="shared" si="44"/>
        <v>3.0024045691872561E-3</v>
      </c>
      <c r="H737" s="8">
        <f t="shared" si="47"/>
        <v>683473.34123350226</v>
      </c>
      <c r="I737" s="8">
        <f t="shared" si="45"/>
        <v>1067100.1647020529</v>
      </c>
      <c r="J737" s="13">
        <f t="shared" si="46"/>
        <v>-0.35950404297394506</v>
      </c>
    </row>
    <row r="738" spans="1:10" x14ac:dyDescent="0.25">
      <c r="A738" s="5">
        <v>45527</v>
      </c>
      <c r="B738">
        <f>(Prices!B522/Prices!B521)-1</f>
        <v>-1.1019786910197893E-2</v>
      </c>
      <c r="C738">
        <f>(Prices!C522/Prices!C521)-1</f>
        <v>-2.9733616046404565E-3</v>
      </c>
      <c r="D738">
        <f>(Prices!D522/Prices!D521)-1</f>
        <v>-1.3657195233730435E-2</v>
      </c>
      <c r="E738">
        <f>(Prices!E522/Prices!E521)-1</f>
        <v>-7.6845973939190237E-3</v>
      </c>
      <c r="F738">
        <f>(Prices!F522/Prices!F521)-1</f>
        <v>-9.9225643796145846E-3</v>
      </c>
      <c r="G738">
        <f t="shared" si="44"/>
        <v>-9.0515011044204792E-3</v>
      </c>
      <c r="H738" s="8">
        <f t="shared" si="47"/>
        <v>677286.88153048523</v>
      </c>
      <c r="I738" s="8">
        <f t="shared" si="45"/>
        <v>1067100.1647020529</v>
      </c>
      <c r="J738" s="13">
        <f t="shared" si="46"/>
        <v>-0.36530149283634328</v>
      </c>
    </row>
    <row r="739" spans="1:10" x14ac:dyDescent="0.25">
      <c r="A739" s="6">
        <v>45530</v>
      </c>
      <c r="B739">
        <f>(Prices!B521/Prices!B520)-1</f>
        <v>-3.2164097584658213E-3</v>
      </c>
      <c r="C739">
        <f>(Prices!C521/Prices!C520)-1</f>
        <v>7.9840809708642269E-3</v>
      </c>
      <c r="D739">
        <f>(Prices!D521/Prices!D520)-1</f>
        <v>-2.0909988333483009E-2</v>
      </c>
      <c r="E739">
        <f>(Prices!E521/Prices!E520)-1</f>
        <v>-3.8986354775829568E-3</v>
      </c>
      <c r="F739">
        <f>(Prices!F521/Prices!F520)-1</f>
        <v>-4.4461974255083359E-3</v>
      </c>
      <c r="G739">
        <f t="shared" si="44"/>
        <v>-4.8974300048351795E-3</v>
      </c>
      <c r="H739" s="8">
        <f t="shared" si="47"/>
        <v>673969.91643499653</v>
      </c>
      <c r="I739" s="8">
        <f t="shared" si="45"/>
        <v>1067100.1647020529</v>
      </c>
      <c r="J739" s="13">
        <f t="shared" si="46"/>
        <v>-0.36840988434935074</v>
      </c>
    </row>
    <row r="740" spans="1:10" x14ac:dyDescent="0.25">
      <c r="A740" s="5">
        <v>45531</v>
      </c>
      <c r="B740">
        <f>(Prices!B520/Prices!B519)-1</f>
        <v>9.0012858979853227E-3</v>
      </c>
      <c r="C740">
        <f>(Prices!C520/Prices!C519)-1</f>
        <v>-8.3456062837494738E-4</v>
      </c>
      <c r="D740">
        <f>(Prices!D520/Prices!D519)-1</f>
        <v>9.6040590740238407E-3</v>
      </c>
      <c r="E740">
        <f>(Prices!E520/Prices!E519)-1</f>
        <v>-4.5906294368196487E-3</v>
      </c>
      <c r="F740">
        <f>(Prices!F520/Prices!F519)-1</f>
        <v>-3.7635083066012154E-4</v>
      </c>
      <c r="G740">
        <f t="shared" si="44"/>
        <v>2.5607608152308889E-3</v>
      </c>
      <c r="H740" s="8">
        <f t="shared" si="47"/>
        <v>675695.79218764778</v>
      </c>
      <c r="I740" s="8">
        <f t="shared" si="45"/>
        <v>1067100.1647020529</v>
      </c>
      <c r="J740" s="13">
        <f t="shared" si="46"/>
        <v>-0.36679253312990528</v>
      </c>
    </row>
    <row r="741" spans="1:10" x14ac:dyDescent="0.25">
      <c r="A741" s="6">
        <v>45532</v>
      </c>
      <c r="B741">
        <f>(Prices!B519/Prices!B518)-1</f>
        <v>1.1207430340557378E-2</v>
      </c>
      <c r="C741">
        <f>(Prices!C519/Prices!C518)-1</f>
        <v>7.8919373592933884E-3</v>
      </c>
      <c r="D741">
        <f>(Prices!D519/Prices!D518)-1</f>
        <v>9.8819654131210299E-3</v>
      </c>
      <c r="E741">
        <f>(Prices!E519/Prices!E518)-1</f>
        <v>-5.0383764185147895E-3</v>
      </c>
      <c r="F741">
        <f>(Prices!F519/Prices!F518)-1</f>
        <v>-2.021033051938792E-3</v>
      </c>
      <c r="G741">
        <f t="shared" si="44"/>
        <v>4.3843847285036427E-3</v>
      </c>
      <c r="H741" s="8">
        <f t="shared" si="47"/>
        <v>678658.30250002944</v>
      </c>
      <c r="I741" s="8">
        <f t="shared" si="45"/>
        <v>1067100.1647020529</v>
      </c>
      <c r="J741" s="13">
        <f t="shared" si="46"/>
        <v>-0.36401630798218559</v>
      </c>
    </row>
    <row r="742" spans="1:10" x14ac:dyDescent="0.25">
      <c r="A742" s="5">
        <v>45533</v>
      </c>
      <c r="B742">
        <f>(Prices!B518/Prices!B517)-1</f>
        <v>6.6068312141611685E-3</v>
      </c>
      <c r="C742">
        <f>(Prices!C518/Prices!C517)-1</f>
        <v>-6.1224489795919101E-3</v>
      </c>
      <c r="D742">
        <f>(Prices!D518/Prices!D517)-1</f>
        <v>-1.3628158844765315E-2</v>
      </c>
      <c r="E742">
        <f>(Prices!E518/Prices!E517)-1</f>
        <v>-4.1266119577959559E-3</v>
      </c>
      <c r="F742">
        <f>(Prices!F518/Prices!F517)-1</f>
        <v>-5.1245551601423189E-3</v>
      </c>
      <c r="G742">
        <f t="shared" si="44"/>
        <v>-4.4789887456268664E-3</v>
      </c>
      <c r="H742" s="8">
        <f t="shared" si="47"/>
        <v>675618.59960100555</v>
      </c>
      <c r="I742" s="8">
        <f t="shared" si="45"/>
        <v>1067100.1647020529</v>
      </c>
      <c r="J742" s="13">
        <f t="shared" si="46"/>
        <v>-0.36686487178113564</v>
      </c>
    </row>
    <row r="743" spans="1:10" x14ac:dyDescent="0.25">
      <c r="A743" s="6">
        <v>45534</v>
      </c>
      <c r="B743">
        <f>(Prices!B517/Prices!B516)-1</f>
        <v>-9.8129975930383306E-3</v>
      </c>
      <c r="C743">
        <f>(Prices!C517/Prices!C516)-1</f>
        <v>-9.6188968708145195E-3</v>
      </c>
      <c r="D743">
        <f>(Prices!D517/Prices!D516)-1</f>
        <v>1.6271921894774888E-3</v>
      </c>
      <c r="E743">
        <f>(Prices!E517/Prices!E516)-1</f>
        <v>-1.1541670529340964E-2</v>
      </c>
      <c r="F743">
        <f>(Prices!F517/Prices!F516)-1</f>
        <v>2.3185304084178959E-3</v>
      </c>
      <c r="G743">
        <f t="shared" si="44"/>
        <v>-5.4055684790596855E-3</v>
      </c>
      <c r="H743" s="8">
        <f t="shared" si="47"/>
        <v>671966.49699513591</v>
      </c>
      <c r="I743" s="8">
        <f t="shared" si="45"/>
        <v>1067100.1647020529</v>
      </c>
      <c r="J743" s="13">
        <f t="shared" si="46"/>
        <v>-0.37028732707322098</v>
      </c>
    </row>
    <row r="744" spans="1:10" x14ac:dyDescent="0.25">
      <c r="A744" s="5">
        <v>45538</v>
      </c>
      <c r="B744">
        <f>(Prices!B516/Prices!B515)-1</f>
        <v>3.82545174932718E-2</v>
      </c>
      <c r="C744">
        <f>(Prices!C516/Prices!C515)-1</f>
        <v>1.8805666509539298E-2</v>
      </c>
      <c r="D744">
        <f>(Prices!D516/Prices!D515)-1</f>
        <v>2.1421975992613085E-2</v>
      </c>
      <c r="E744">
        <f>(Prices!E516/Prices!E515)-1</f>
        <v>2.0433260807870779E-2</v>
      </c>
      <c r="F744">
        <f>(Prices!F516/Prices!F515)-1</f>
        <v>-1.4171179407834522E-2</v>
      </c>
      <c r="G744">
        <f t="shared" si="44"/>
        <v>1.6948848279092092E-2</v>
      </c>
      <c r="H744" s="8">
        <f t="shared" si="47"/>
        <v>683355.55520133942</v>
      </c>
      <c r="I744" s="8">
        <f t="shared" si="45"/>
        <v>1067100.1647020529</v>
      </c>
      <c r="J744" s="13">
        <f t="shared" si="46"/>
        <v>-0.35961442252036346</v>
      </c>
    </row>
    <row r="745" spans="1:10" x14ac:dyDescent="0.25">
      <c r="A745" s="6">
        <v>45539</v>
      </c>
      <c r="B745">
        <f>(Prices!B515/Prices!B514)-1</f>
        <v>5.8652916532386801E-3</v>
      </c>
      <c r="C745">
        <f>(Prices!C515/Prices!C514)-1</f>
        <v>1.3166393401897736E-3</v>
      </c>
      <c r="D745">
        <f>(Prices!D515/Prices!D514)-1</f>
        <v>1.2338754907459171E-2</v>
      </c>
      <c r="E745">
        <f>(Prices!E515/Prices!E514)-1</f>
        <v>4.4182621502208974E-3</v>
      </c>
      <c r="F745">
        <f>(Prices!F515/Prices!F514)-1</f>
        <v>-9.0943935328757775E-3</v>
      </c>
      <c r="G745">
        <f t="shared" si="44"/>
        <v>2.968910903646549E-3</v>
      </c>
      <c r="H745" s="8">
        <f t="shared" si="47"/>
        <v>685384.37696024415</v>
      </c>
      <c r="I745" s="8">
        <f t="shared" si="45"/>
        <v>1067100.1647020529</v>
      </c>
      <c r="J745" s="13">
        <f t="shared" si="46"/>
        <v>-0.35771317479684617</v>
      </c>
    </row>
    <row r="746" spans="1:10" x14ac:dyDescent="0.25">
      <c r="A746" s="5">
        <v>45540</v>
      </c>
      <c r="B746">
        <f>(Prices!B514/Prices!B513)-1</f>
        <v>-5.0660510452738006E-3</v>
      </c>
      <c r="C746">
        <f>(Prices!C514/Prices!C513)-1</f>
        <v>1.2436573475276269E-3</v>
      </c>
      <c r="D746">
        <f>(Prices!D514/Prices!D513)-1</f>
        <v>7.9140757490108182E-3</v>
      </c>
      <c r="E746">
        <f>(Prices!E514/Prices!E513)-1</f>
        <v>7.8525257361743428E-3</v>
      </c>
      <c r="F746">
        <f>(Prices!F514/Prices!F513)-1</f>
        <v>1.4582928251992922E-2</v>
      </c>
      <c r="G746">
        <f t="shared" si="44"/>
        <v>5.3054272078863823E-3</v>
      </c>
      <c r="H746" s="8">
        <f t="shared" si="47"/>
        <v>689020.63388162921</v>
      </c>
      <c r="I746" s="8">
        <f t="shared" si="45"/>
        <v>1067100.1647020529</v>
      </c>
      <c r="J746" s="13">
        <f t="shared" si="46"/>
        <v>-0.35430556879914643</v>
      </c>
    </row>
    <row r="747" spans="1:10" x14ac:dyDescent="0.25">
      <c r="A747" s="6">
        <v>45541</v>
      </c>
      <c r="B747">
        <f>(Prices!B513/Prices!B512)-1</f>
        <v>4.189216275806773E-2</v>
      </c>
      <c r="C747">
        <f>(Prices!C513/Prices!C512)-1</f>
        <v>1.6664559362751463E-2</v>
      </c>
      <c r="D747">
        <f>(Prices!D513/Prices!D512)-1</f>
        <v>4.6379555134878903E-3</v>
      </c>
      <c r="E747">
        <f>(Prices!E513/Prices!E512)-1</f>
        <v>2.4326842905488366E-2</v>
      </c>
      <c r="F747">
        <f>(Prices!F513/Prices!F512)-1</f>
        <v>-2.3278370514062674E-3</v>
      </c>
      <c r="G747">
        <f t="shared" si="44"/>
        <v>1.7038736697677838E-2</v>
      </c>
      <c r="H747" s="8">
        <f t="shared" si="47"/>
        <v>700760.67504160537</v>
      </c>
      <c r="I747" s="8">
        <f t="shared" si="45"/>
        <v>1067100.1647020529</v>
      </c>
      <c r="J747" s="13">
        <f t="shared" si="46"/>
        <v>-0.34330375139875824</v>
      </c>
    </row>
    <row r="748" spans="1:10" x14ac:dyDescent="0.25">
      <c r="A748" s="5">
        <v>45544</v>
      </c>
      <c r="B748">
        <f>(Prices!B512/Prices!B511)-1</f>
        <v>1.3543712331550051E-2</v>
      </c>
      <c r="C748">
        <f>(Prices!C512/Prices!C511)-1</f>
        <v>-9.9146240705040301E-3</v>
      </c>
      <c r="D748">
        <f>(Prices!D512/Prices!D511)-1</f>
        <v>-2.0580328172800533E-2</v>
      </c>
      <c r="E748">
        <f>(Prices!E512/Prices!E511)-1</f>
        <v>-2.0089392992742816E-2</v>
      </c>
      <c r="F748">
        <f>(Prices!F512/Prices!F511)-1</f>
        <v>4.6774507893196926E-3</v>
      </c>
      <c r="G748">
        <f t="shared" si="44"/>
        <v>-6.4726364230355271E-3</v>
      </c>
      <c r="H748" s="8">
        <f t="shared" si="47"/>
        <v>696224.9059725001</v>
      </c>
      <c r="I748" s="8">
        <f t="shared" si="45"/>
        <v>1067100.1647020529</v>
      </c>
      <c r="J748" s="13">
        <f t="shared" si="46"/>
        <v>-0.34755430745632548</v>
      </c>
    </row>
    <row r="749" spans="1:10" x14ac:dyDescent="0.25">
      <c r="A749" s="6">
        <v>45545</v>
      </c>
      <c r="B749">
        <f>(Prices!B511/Prices!B510)-1</f>
        <v>3.3870749220965557E-4</v>
      </c>
      <c r="C749">
        <f>(Prices!C511/Prices!C510)-1</f>
        <v>-2.0477731999215099E-2</v>
      </c>
      <c r="D749">
        <f>(Prices!D511/Prices!D510)-1</f>
        <v>3.7810275158745466E-2</v>
      </c>
      <c r="E749">
        <f>(Prices!E511/Prices!E510)-1</f>
        <v>5.4747300653926079E-2</v>
      </c>
      <c r="F749">
        <f>(Prices!F511/Prices!F510)-1</f>
        <v>-8.2236553093536502E-3</v>
      </c>
      <c r="G749">
        <f t="shared" si="44"/>
        <v>1.2838979199262492E-2</v>
      </c>
      <c r="H749" s="8">
        <f t="shared" si="47"/>
        <v>705163.7230582895</v>
      </c>
      <c r="I749" s="8">
        <f t="shared" si="45"/>
        <v>1067100.1647020529</v>
      </c>
      <c r="J749" s="13">
        <f t="shared" si="46"/>
        <v>-0.33917757078110883</v>
      </c>
    </row>
    <row r="750" spans="1:10" x14ac:dyDescent="0.25">
      <c r="A750" s="5">
        <v>45546</v>
      </c>
      <c r="B750">
        <f>(Prices!B510/Prices!B509)-1</f>
        <v>-1.6587835587236088E-2</v>
      </c>
      <c r="C750">
        <f>(Prices!C510/Prices!C509)-1</f>
        <v>-2.0890361619363196E-2</v>
      </c>
      <c r="D750">
        <f>(Prices!D510/Prices!D509)-1</f>
        <v>1.0008745505781791E-2</v>
      </c>
      <c r="E750">
        <f>(Prices!E510/Prices!E509)-1</f>
        <v>-8.0454568310956986E-3</v>
      </c>
      <c r="F750">
        <f>(Prices!F510/Prices!F509)-1</f>
        <v>1.5742409909508037E-2</v>
      </c>
      <c r="G750">
        <f t="shared" si="44"/>
        <v>-3.9544997244810318E-3</v>
      </c>
      <c r="H750" s="8">
        <f t="shared" si="47"/>
        <v>702375.15330974152</v>
      </c>
      <c r="I750" s="8">
        <f t="shared" si="45"/>
        <v>1067100.1647020529</v>
      </c>
      <c r="J750" s="13">
        <f t="shared" si="46"/>
        <v>-0.34179079289538578</v>
      </c>
    </row>
    <row r="751" spans="1:10" x14ac:dyDescent="0.25">
      <c r="A751" s="6">
        <v>45547</v>
      </c>
      <c r="B751">
        <f>(Prices!B509/Prices!B508)-1</f>
        <v>-2.2784974936527536E-2</v>
      </c>
      <c r="C751">
        <f>(Prices!C509/Prices!C508)-1</f>
        <v>-9.2777619183558313E-3</v>
      </c>
      <c r="D751">
        <f>(Prices!D509/Prices!D508)-1</f>
        <v>-1.351610429447847E-2</v>
      </c>
      <c r="E751">
        <f>(Prices!E509/Prices!E508)-1</f>
        <v>3.0261764260857138E-3</v>
      </c>
      <c r="F751">
        <f>(Prices!F509/Prices!F508)-1</f>
        <v>2.2539847229923193E-3</v>
      </c>
      <c r="G751">
        <f t="shared" si="44"/>
        <v>-8.0597360000567615E-3</v>
      </c>
      <c r="H751" s="8">
        <f t="shared" si="47"/>
        <v>696714.19500106561</v>
      </c>
      <c r="I751" s="8">
        <f t="shared" si="45"/>
        <v>1067100.1647020529</v>
      </c>
      <c r="J751" s="13">
        <f t="shared" si="46"/>
        <v>-0.34709578533745566</v>
      </c>
    </row>
    <row r="752" spans="1:10" x14ac:dyDescent="0.25">
      <c r="A752" s="5">
        <v>45548</v>
      </c>
      <c r="B752">
        <f>(Prices!B508/Prices!B507)-1</f>
        <v>-1.7587618316705078E-2</v>
      </c>
      <c r="C752">
        <f>(Prices!C508/Prices!C507)-1</f>
        <v>-8.3276321687228982E-3</v>
      </c>
      <c r="D752">
        <f>(Prices!D508/Prices!D507)-1</f>
        <v>6.7146282973618021E-4</v>
      </c>
      <c r="E752">
        <f>(Prices!E508/Prices!E507)-1</f>
        <v>1.1168910648714725E-2</v>
      </c>
      <c r="F752">
        <f>(Prices!F508/Prices!F507)-1</f>
        <v>-9.9183507199660514E-3</v>
      </c>
      <c r="G752">
        <f t="shared" si="44"/>
        <v>-4.7986455453886238E-3</v>
      </c>
      <c r="H752" s="8">
        <f t="shared" si="47"/>
        <v>693370.91053281468</v>
      </c>
      <c r="I752" s="8">
        <f t="shared" si="45"/>
        <v>1067100.1647020529</v>
      </c>
      <c r="J752" s="13">
        <f t="shared" si="46"/>
        <v>-0.35022884123871156</v>
      </c>
    </row>
    <row r="753" spans="1:10" x14ac:dyDescent="0.25">
      <c r="A753" s="6">
        <v>45551</v>
      </c>
      <c r="B753">
        <f>(Prices!B507/Prices!B506)-1</f>
        <v>-3.8226299694189558E-3</v>
      </c>
      <c r="C753">
        <f>(Prices!C507/Prices!C506)-1</f>
        <v>-1.7426936391682357E-3</v>
      </c>
      <c r="D753">
        <f>(Prices!D507/Prices!D506)-1</f>
        <v>-1.3811370731245831E-2</v>
      </c>
      <c r="E753">
        <f>(Prices!E507/Prices!E506)-1</f>
        <v>-1.7044315219570727E-2</v>
      </c>
      <c r="F753">
        <f>(Prices!F507/Prices!F506)-1</f>
        <v>5.2164933770120214E-3</v>
      </c>
      <c r="G753">
        <f t="shared" si="44"/>
        <v>-6.2409032364783464E-3</v>
      </c>
      <c r="H753" s="8">
        <f t="shared" si="47"/>
        <v>689043.6497731905</v>
      </c>
      <c r="I753" s="8">
        <f t="shared" si="45"/>
        <v>1067100.1647020529</v>
      </c>
      <c r="J753" s="13">
        <f t="shared" si="46"/>
        <v>-0.35428400016639516</v>
      </c>
    </row>
    <row r="754" spans="1:10" x14ac:dyDescent="0.25">
      <c r="A754" s="5">
        <v>45552</v>
      </c>
      <c r="B754">
        <f>(Prices!B506/Prices!B505)-1</f>
        <v>-7.9008912205297266E-3</v>
      </c>
      <c r="C754">
        <f>(Prices!C506/Prices!C505)-1</f>
        <v>-8.753910079835614E-3</v>
      </c>
      <c r="D754">
        <f>(Prices!D506/Prices!D505)-1</f>
        <v>-1.2886357269586424E-2</v>
      </c>
      <c r="E754">
        <f>(Prices!E506/Prices!E505)-1</f>
        <v>-6.6231761366466468E-3</v>
      </c>
      <c r="F754">
        <f>(Prices!F506/Prices!F505)-1</f>
        <v>1.9345940256251914E-2</v>
      </c>
      <c r="G754">
        <f t="shared" si="44"/>
        <v>-3.3636788900692988E-3</v>
      </c>
      <c r="H754" s="8">
        <f t="shared" si="47"/>
        <v>686725.92819411214</v>
      </c>
      <c r="I754" s="8">
        <f t="shared" si="45"/>
        <v>1067100.1647020529</v>
      </c>
      <c r="J754" s="13">
        <f t="shared" si="46"/>
        <v>-0.35645598144401541</v>
      </c>
    </row>
    <row r="755" spans="1:10" x14ac:dyDescent="0.25">
      <c r="A755" s="6">
        <v>45553</v>
      </c>
      <c r="B755">
        <f>(Prices!B505/Prices!B504)-1</f>
        <v>-3.0875866414618036E-3</v>
      </c>
      <c r="C755">
        <f>(Prices!C505/Prices!C504)-1</f>
        <v>1.0068142698828053E-2</v>
      </c>
      <c r="D755">
        <f>(Prices!D505/Prices!D504)-1</f>
        <v>-3.5358704754815395E-3</v>
      </c>
      <c r="E755">
        <f>(Prices!E505/Prices!E504)-1</f>
        <v>8.2847961438039519E-3</v>
      </c>
      <c r="F755">
        <f>(Prices!F505/Prices!F504)-1</f>
        <v>-4.624444524730098E-3</v>
      </c>
      <c r="G755">
        <f t="shared" si="44"/>
        <v>1.4210074401917127E-3</v>
      </c>
      <c r="H755" s="8">
        <f t="shared" si="47"/>
        <v>687701.7708474485</v>
      </c>
      <c r="I755" s="8">
        <f t="shared" si="45"/>
        <v>1067100.1647020529</v>
      </c>
      <c r="J755" s="13">
        <f t="shared" si="46"/>
        <v>-0.35554150060555656</v>
      </c>
    </row>
    <row r="756" spans="1:10" x14ac:dyDescent="0.25">
      <c r="A756" s="5">
        <v>45554</v>
      </c>
      <c r="B756">
        <f>(Prices!B504/Prices!B503)-1</f>
        <v>-1.4346934972983005E-2</v>
      </c>
      <c r="C756">
        <f>(Prices!C504/Prices!C503)-1</f>
        <v>-1.7968370111376086E-2</v>
      </c>
      <c r="D756">
        <f>(Prices!D504/Prices!D503)-1</f>
        <v>-1.2224264705882337E-2</v>
      </c>
      <c r="E756">
        <f>(Prices!E504/Prices!E503)-1</f>
        <v>-1.4010594583890312E-2</v>
      </c>
      <c r="F756">
        <f>(Prices!F504/Prices!F503)-1</f>
        <v>6.1980842285114246E-3</v>
      </c>
      <c r="G756">
        <f t="shared" si="44"/>
        <v>-1.0470416029124064E-2</v>
      </c>
      <c r="H756" s="8">
        <f t="shared" si="47"/>
        <v>680501.24720271036</v>
      </c>
      <c r="I756" s="8">
        <f t="shared" si="45"/>
        <v>1067100.1647020529</v>
      </c>
      <c r="J756" s="13">
        <f t="shared" si="46"/>
        <v>-0.36228924920772138</v>
      </c>
    </row>
    <row r="757" spans="1:10" x14ac:dyDescent="0.25">
      <c r="A757" s="6">
        <v>45555</v>
      </c>
      <c r="B757">
        <f>(Prices!B503/Prices!B502)-1</f>
        <v>-8.8642659279778435E-3</v>
      </c>
      <c r="C757">
        <f>(Prices!C503/Prices!C502)-1</f>
        <v>7.8646441073513262E-3</v>
      </c>
      <c r="D757">
        <f>(Prices!D503/Prices!D502)-1</f>
        <v>6.3823883082045896E-3</v>
      </c>
      <c r="E757">
        <f>(Prices!E503/Prices!E502)-1</f>
        <v>-2.9124296574193353E-3</v>
      </c>
      <c r="F757">
        <f>(Prices!F503/Prices!F502)-1</f>
        <v>3.5935789857715061E-3</v>
      </c>
      <c r="G757">
        <f t="shared" si="44"/>
        <v>1.2127831631860487E-3</v>
      </c>
      <c r="H757" s="8">
        <f t="shared" si="47"/>
        <v>681326.54765784496</v>
      </c>
      <c r="I757" s="8">
        <f t="shared" si="45"/>
        <v>1067100.1647020529</v>
      </c>
      <c r="J757" s="13">
        <f t="shared" si="46"/>
        <v>-0.36151584434617773</v>
      </c>
    </row>
    <row r="758" spans="1:10" x14ac:dyDescent="0.25">
      <c r="A758" s="5">
        <v>45558</v>
      </c>
      <c r="B758">
        <f>(Prices!B502/Prices!B501)-1</f>
        <v>1.0764061722249751E-2</v>
      </c>
      <c r="C758">
        <f>(Prices!C502/Prices!C501)-1</f>
        <v>4.0537057431404566E-3</v>
      </c>
      <c r="D758">
        <f>(Prices!D502/Prices!D501)-1</f>
        <v>-1.780685018624506E-2</v>
      </c>
      <c r="E758">
        <f>(Prices!E502/Prices!E501)-1</f>
        <v>-1.6263367995662525E-3</v>
      </c>
      <c r="F758">
        <f>(Prices!F502/Prices!F501)-1</f>
        <v>2.7804199897565329E-3</v>
      </c>
      <c r="G758">
        <f t="shared" si="44"/>
        <v>-3.6699990613291448E-4</v>
      </c>
      <c r="H758" s="8">
        <f t="shared" si="47"/>
        <v>681076.50087880867</v>
      </c>
      <c r="I758" s="8">
        <f t="shared" si="45"/>
        <v>1067100.1647020529</v>
      </c>
      <c r="J758" s="13">
        <f t="shared" si="46"/>
        <v>-0.36175016797137005</v>
      </c>
    </row>
    <row r="759" spans="1:10" x14ac:dyDescent="0.25">
      <c r="A759" s="6">
        <v>45559</v>
      </c>
      <c r="B759">
        <f>(Prices!B501/Prices!B500)-1</f>
        <v>-2.7302060064532396E-3</v>
      </c>
      <c r="C759">
        <f>(Prices!C501/Prices!C500)-1</f>
        <v>1.0106508875739495E-2</v>
      </c>
      <c r="D759">
        <f>(Prices!D501/Prices!D500)-1</f>
        <v>2.6416469302239509E-3</v>
      </c>
      <c r="E759">
        <f>(Prices!E501/Prices!E500)-1</f>
        <v>-7.3869792179659388E-4</v>
      </c>
      <c r="F759">
        <f>(Prices!F501/Prices!F500)-1</f>
        <v>-3.1000401181663362E-3</v>
      </c>
      <c r="G759">
        <f t="shared" si="44"/>
        <v>1.2358423519094556E-3</v>
      </c>
      <c r="H759" s="8">
        <f t="shared" si="47"/>
        <v>681918.20406348503</v>
      </c>
      <c r="I759" s="8">
        <f t="shared" si="45"/>
        <v>1067100.1647020529</v>
      </c>
      <c r="J759" s="13">
        <f t="shared" si="46"/>
        <v>-0.36096139179784992</v>
      </c>
    </row>
    <row r="760" spans="1:10" x14ac:dyDescent="0.25">
      <c r="A760" s="5">
        <v>45560</v>
      </c>
      <c r="B760">
        <f>(Prices!B500/Prices!B499)-1</f>
        <v>4.9887752556745379E-3</v>
      </c>
      <c r="C760">
        <f>(Prices!C500/Prices!C499)-1</f>
        <v>-6.7937657208678726E-3</v>
      </c>
      <c r="D760">
        <f>(Prices!D500/Prices!D499)-1</f>
        <v>1.9786344635392528E-2</v>
      </c>
      <c r="E760">
        <f>(Prices!E500/Prices!E499)-1</f>
        <v>6.6927767587130482E-3</v>
      </c>
      <c r="F760">
        <f>(Prices!F500/Prices!F499)-1</f>
        <v>-1.947401947402061E-3</v>
      </c>
      <c r="G760">
        <f t="shared" si="44"/>
        <v>4.5453457963020357E-3</v>
      </c>
      <c r="H760" s="8">
        <f t="shared" si="47"/>
        <v>685017.75810574682</v>
      </c>
      <c r="I760" s="8">
        <f t="shared" si="45"/>
        <v>1067100.1647020529</v>
      </c>
      <c r="J760" s="13">
        <f t="shared" si="46"/>
        <v>-0.35805674034638357</v>
      </c>
    </row>
    <row r="761" spans="1:10" x14ac:dyDescent="0.25">
      <c r="A761" s="6">
        <v>45561</v>
      </c>
      <c r="B761">
        <f>(Prices!B499/Prices!B498)-1</f>
        <v>-7.6732673267325691E-3</v>
      </c>
      <c r="C761">
        <f>(Prices!C499/Prices!C498)-1</f>
        <v>1.8605746585020899E-3</v>
      </c>
      <c r="D761">
        <f>(Prices!D499/Prices!D498)-1</f>
        <v>1.7485822306238186E-2</v>
      </c>
      <c r="E761">
        <f>(Prices!E499/Prices!E498)-1</f>
        <v>1.9372143850586721E-3</v>
      </c>
      <c r="F761">
        <f>(Prices!F499/Prices!F498)-1</f>
        <v>2.6093938177440545E-3</v>
      </c>
      <c r="G761">
        <f t="shared" si="44"/>
        <v>3.2439475681620869E-3</v>
      </c>
      <c r="H761" s="8">
        <f t="shared" si="47"/>
        <v>687239.91979630175</v>
      </c>
      <c r="I761" s="8">
        <f t="shared" si="45"/>
        <v>1067100.1647020529</v>
      </c>
      <c r="J761" s="13">
        <f t="shared" si="46"/>
        <v>-0.35597431007033226</v>
      </c>
    </row>
    <row r="762" spans="1:10" x14ac:dyDescent="0.25">
      <c r="A762" s="5">
        <v>45562</v>
      </c>
      <c r="B762">
        <f>(Prices!B498/Prices!B497)-1</f>
        <v>-7.4319759228549387E-3</v>
      </c>
      <c r="C762">
        <f>(Prices!C498/Prices!C497)-1</f>
        <v>7.6893867476741651E-3</v>
      </c>
      <c r="D762">
        <f>(Prices!D498/Prices!D497)-1</f>
        <v>-2.6051735248089791E-2</v>
      </c>
      <c r="E762">
        <f>(Prices!E498/Prices!E497)-1</f>
        <v>-3.4156724914607972E-3</v>
      </c>
      <c r="F762">
        <f>(Prices!F498/Prices!F497)-1</f>
        <v>-1.2095974618282823E-2</v>
      </c>
      <c r="G762">
        <f t="shared" si="44"/>
        <v>-8.2611943066028364E-3</v>
      </c>
      <c r="H762" s="8">
        <f t="shared" si="47"/>
        <v>681562.49728361028</v>
      </c>
      <c r="I762" s="8">
        <f t="shared" si="45"/>
        <v>1067100.1647020529</v>
      </c>
      <c r="J762" s="13">
        <f t="shared" si="46"/>
        <v>-0.36129473143328522</v>
      </c>
    </row>
    <row r="763" spans="1:10" x14ac:dyDescent="0.25">
      <c r="A763" s="6">
        <v>45565</v>
      </c>
      <c r="B763">
        <f>(Prices!B497/Prices!B496)-1</f>
        <v>-1.1415386483696666E-2</v>
      </c>
      <c r="C763">
        <f>(Prices!C497/Prices!C496)-1</f>
        <v>-5.3114893416114084E-3</v>
      </c>
      <c r="D763">
        <f>(Prices!D497/Prices!D496)-1</f>
        <v>-1.1915590321993852E-2</v>
      </c>
      <c r="E763">
        <f>(Prices!E497/Prices!E496)-1</f>
        <v>-1.7295908282269901E-3</v>
      </c>
      <c r="F763">
        <f>(Prices!F497/Prices!F496)-1</f>
        <v>-4.8436574995962545E-3</v>
      </c>
      <c r="G763">
        <f t="shared" si="44"/>
        <v>-7.0431428950250355E-3</v>
      </c>
      <c r="H763" s="8">
        <f t="shared" si="47"/>
        <v>676762.15522335167</v>
      </c>
      <c r="I763" s="8">
        <f t="shared" si="45"/>
        <v>1067100.1647020529</v>
      </c>
      <c r="J763" s="13">
        <f t="shared" si="46"/>
        <v>-0.36579322390760599</v>
      </c>
    </row>
    <row r="764" spans="1:10" x14ac:dyDescent="0.25">
      <c r="A764" s="5">
        <v>45566</v>
      </c>
      <c r="B764">
        <f>(Prices!B496/Prices!B495)-1</f>
        <v>-6.8745100404029591E-3</v>
      </c>
      <c r="C764">
        <f>(Prices!C496/Prices!C495)-1</f>
        <v>2.2841965471447567E-2</v>
      </c>
      <c r="D764">
        <f>(Prices!D496/Prices!D495)-1</f>
        <v>-2.2581792318634442E-2</v>
      </c>
      <c r="E764">
        <f>(Prices!E496/Prices!E495)-1</f>
        <v>1.8470984951431957E-2</v>
      </c>
      <c r="F764">
        <f>(Prices!F496/Prices!F495)-1</f>
        <v>2.3736311161459689E-3</v>
      </c>
      <c r="G764">
        <f t="shared" si="44"/>
        <v>2.8460558359976185E-3</v>
      </c>
      <c r="H764" s="8">
        <f t="shared" si="47"/>
        <v>678688.25810480735</v>
      </c>
      <c r="I764" s="8">
        <f t="shared" si="45"/>
        <v>1067100.1647020529</v>
      </c>
      <c r="J764" s="13">
        <f t="shared" si="46"/>
        <v>-0.36398823601127905</v>
      </c>
    </row>
    <row r="765" spans="1:10" x14ac:dyDescent="0.25">
      <c r="A765" s="6">
        <v>45567</v>
      </c>
      <c r="B765">
        <f>(Prices!B495/Prices!B494)-1</f>
        <v>6.8609593199757679E-3</v>
      </c>
      <c r="C765">
        <f>(Prices!C495/Prices!C494)-1</f>
        <v>8.5476329631795078E-3</v>
      </c>
      <c r="D765">
        <f>(Prices!D495/Prices!D494)-1</f>
        <v>-1.3160203544481441E-2</v>
      </c>
      <c r="E765">
        <f>(Prices!E495/Prices!E494)-1</f>
        <v>-1.2064545317448383E-3</v>
      </c>
      <c r="F765">
        <f>(Prices!F495/Prices!F494)-1</f>
        <v>-1.5211616787674909E-2</v>
      </c>
      <c r="G765">
        <f t="shared" si="44"/>
        <v>-2.8339365161491829E-3</v>
      </c>
      <c r="H765" s="8">
        <f t="shared" si="47"/>
        <v>676764.89866708242</v>
      </c>
      <c r="I765" s="8">
        <f t="shared" si="45"/>
        <v>1067100.1647020529</v>
      </c>
      <c r="J765" s="13">
        <f t="shared" si="46"/>
        <v>-0.36579065297394719</v>
      </c>
    </row>
    <row r="766" spans="1:10" x14ac:dyDescent="0.25">
      <c r="A766" s="5">
        <v>45568</v>
      </c>
      <c r="B766">
        <f>(Prices!B494/Prices!B493)-1</f>
        <v>0</v>
      </c>
      <c r="C766">
        <f>(Prices!C494/Prices!C493)-1</f>
        <v>1.4144271570013522E-3</v>
      </c>
      <c r="D766">
        <f>(Prices!D494/Prices!D493)-1</f>
        <v>-8.6109419848655611E-3</v>
      </c>
      <c r="E766">
        <f>(Prices!E494/Prices!E493)-1</f>
        <v>1.0053313023610233E-2</v>
      </c>
      <c r="F766">
        <f>(Prices!F494/Prices!F493)-1</f>
        <v>-7.4320498301239102E-4</v>
      </c>
      <c r="G766">
        <f t="shared" si="44"/>
        <v>4.2271864254672653E-4</v>
      </c>
      <c r="H766" s="8">
        <f t="shared" si="47"/>
        <v>677050.97980637022</v>
      </c>
      <c r="I766" s="8">
        <f t="shared" si="45"/>
        <v>1067100.1647020529</v>
      </c>
      <c r="J766" s="13">
        <f t="shared" si="46"/>
        <v>-0.36552256085968188</v>
      </c>
    </row>
    <row r="767" spans="1:10" x14ac:dyDescent="0.25">
      <c r="A767" s="6">
        <v>45569</v>
      </c>
      <c r="B767">
        <f>(Prices!B493/Prices!B492)-1</f>
        <v>-7.2332730560579206E-3</v>
      </c>
      <c r="C767">
        <f>(Prices!C493/Prices!C492)-1</f>
        <v>1.1474889523670484E-3</v>
      </c>
      <c r="D767">
        <f>(Prices!D493/Prices!D492)-1</f>
        <v>-1.8021865391185554E-2</v>
      </c>
      <c r="E767">
        <f>(Prices!E493/Prices!E492)-1</f>
        <v>-3.432213777886739E-2</v>
      </c>
      <c r="F767">
        <f>(Prices!F493/Prices!F492)-1</f>
        <v>2.6257895110355367E-3</v>
      </c>
      <c r="G767">
        <f t="shared" si="44"/>
        <v>-1.1160799552541656E-2</v>
      </c>
      <c r="H767" s="8">
        <f t="shared" si="47"/>
        <v>669494.54953389941</v>
      </c>
      <c r="I767" s="8">
        <f t="shared" si="45"/>
        <v>1067100.1647020529</v>
      </c>
      <c r="J767" s="13">
        <f t="shared" si="46"/>
        <v>-0.37260383637853695</v>
      </c>
    </row>
    <row r="768" spans="1:10" x14ac:dyDescent="0.25">
      <c r="A768" s="5">
        <v>45572</v>
      </c>
      <c r="B768">
        <f>(Prices!B492/Prices!B491)-1</f>
        <v>2.5086505190311525E-2</v>
      </c>
      <c r="C768">
        <f>(Prices!C492/Prices!C491)-1</f>
        <v>1.5923803854453356E-2</v>
      </c>
      <c r="D768">
        <f>(Prices!D492/Prices!D491)-1</f>
        <v>-4.337103495195227E-3</v>
      </c>
      <c r="E768">
        <f>(Prices!E492/Prices!E491)-1</f>
        <v>1.3747729169735212E-3</v>
      </c>
      <c r="F768">
        <f>(Prices!F492/Prices!F491)-1</f>
        <v>1.3085052843482492E-2</v>
      </c>
      <c r="G768">
        <f t="shared" si="44"/>
        <v>1.0226606262005134E-2</v>
      </c>
      <c r="H768" s="8">
        <f t="shared" si="47"/>
        <v>676341.20668654109</v>
      </c>
      <c r="I768" s="8">
        <f t="shared" si="45"/>
        <v>1067100.1647020529</v>
      </c>
      <c r="J768" s="13">
        <f t="shared" si="46"/>
        <v>-0.36618770284288765</v>
      </c>
    </row>
    <row r="769" spans="1:10" x14ac:dyDescent="0.25">
      <c r="A769" s="6">
        <v>45573</v>
      </c>
      <c r="B769">
        <f>(Prices!B491/Prices!B490)-1</f>
        <v>-8.5155914966610347E-3</v>
      </c>
      <c r="C769">
        <f>(Prices!C491/Prices!C490)-1</f>
        <v>-1.2467545191789497E-2</v>
      </c>
      <c r="D769">
        <f>(Prices!D491/Prices!D490)-1</f>
        <v>2.7345797658570703E-2</v>
      </c>
      <c r="E769">
        <f>(Prices!E491/Prices!E490)-1</f>
        <v>8.8456435205652717E-4</v>
      </c>
      <c r="F769">
        <f>(Prices!F491/Prices!F490)-1</f>
        <v>3.4086605226613109E-3</v>
      </c>
      <c r="G769">
        <f t="shared" si="44"/>
        <v>2.1311771689676022E-3</v>
      </c>
      <c r="H769" s="8">
        <f t="shared" si="47"/>
        <v>677782.60962466348</v>
      </c>
      <c r="I769" s="8">
        <f t="shared" si="45"/>
        <v>1067100.1647020529</v>
      </c>
      <c r="J769" s="13">
        <f t="shared" si="46"/>
        <v>-0.36483693654577548</v>
      </c>
    </row>
    <row r="770" spans="1:10" x14ac:dyDescent="0.25">
      <c r="A770" s="5">
        <v>45574</v>
      </c>
      <c r="B770">
        <f>(Prices!B490/Prices!B489)-1</f>
        <v>1.5554034716605436E-2</v>
      </c>
      <c r="C770">
        <f>(Prices!C490/Prices!C489)-1</f>
        <v>-6.5941552911406021E-3</v>
      </c>
      <c r="D770">
        <f>(Prices!D490/Prices!D489)-1</f>
        <v>-4.3664308794000295E-4</v>
      </c>
      <c r="E770">
        <f>(Prices!E490/Prices!E489)-1</f>
        <v>-1.25200174697917E-2</v>
      </c>
      <c r="F770">
        <f>(Prices!F490/Prices!F489)-1</f>
        <v>-1.6304154987048847E-2</v>
      </c>
      <c r="G770">
        <f t="shared" ref="G770:G833" si="48">B770*20%+C770*20%+D770*20%+E770*20%+F770*20%</f>
        <v>-4.0601872238631431E-3</v>
      </c>
      <c r="H770" s="8">
        <f t="shared" si="47"/>
        <v>675030.68533250876</v>
      </c>
      <c r="I770" s="8">
        <f t="shared" ref="I770:I833" si="49">MAX(I769,H770)</f>
        <v>1067100.1647020529</v>
      </c>
      <c r="J770" s="13">
        <f t="shared" ref="J770:J833" si="50">(H770-I770)/I770</f>
        <v>-0.36741581750108215</v>
      </c>
    </row>
    <row r="771" spans="1:10" x14ac:dyDescent="0.25">
      <c r="A771" s="6">
        <v>45575</v>
      </c>
      <c r="B771">
        <f>(Prices!B489/Prices!B488)-1</f>
        <v>-1.3668841255047859E-3</v>
      </c>
      <c r="C771">
        <f>(Prices!C489/Prices!C488)-1</f>
        <v>3.9084446832939879E-3</v>
      </c>
      <c r="D771">
        <f>(Prices!D489/Prices!D488)-1</f>
        <v>-8.5714285714285632E-3</v>
      </c>
      <c r="E771">
        <f>(Prices!E489/Prices!E488)-1</f>
        <v>2.7249282273369424E-3</v>
      </c>
      <c r="F771">
        <f>(Prices!F489/Prices!F488)-1</f>
        <v>-1.0845149515653629E-2</v>
      </c>
      <c r="G771">
        <f t="shared" si="48"/>
        <v>-2.8300178603912094E-3</v>
      </c>
      <c r="H771" s="8">
        <f t="shared" si="47"/>
        <v>673120.33643670566</v>
      </c>
      <c r="I771" s="8">
        <f t="shared" si="49"/>
        <v>1067100.1647020529</v>
      </c>
      <c r="J771" s="13">
        <f t="shared" si="50"/>
        <v>-0.36920604203575502</v>
      </c>
    </row>
    <row r="772" spans="1:10" x14ac:dyDescent="0.25">
      <c r="A772" s="5">
        <v>45576</v>
      </c>
      <c r="B772">
        <f>(Prices!B488/Prices!B487)-1</f>
        <v>-7.0943861813695941E-3</v>
      </c>
      <c r="C772">
        <f>(Prices!C488/Prices!C487)-1</f>
        <v>-1.1711601805538541E-3</v>
      </c>
      <c r="D772">
        <f>(Prices!D488/Prices!D487)-1</f>
        <v>-3.7950664136622292E-3</v>
      </c>
      <c r="E772">
        <f>(Prices!E488/Prices!E487)-1</f>
        <v>-4.249172995387418E-2</v>
      </c>
      <c r="F772">
        <f>(Prices!F488/Prices!F487)-1</f>
        <v>-5.7877475138978784E-4</v>
      </c>
      <c r="G772">
        <f t="shared" si="48"/>
        <v>-1.102622349616993E-2</v>
      </c>
      <c r="H772" s="8">
        <f t="shared" ref="H772:H835" si="51">H771*(1+G772)</f>
        <v>665698.36116733751</v>
      </c>
      <c r="I772" s="8">
        <f t="shared" si="49"/>
        <v>1067100.1647020529</v>
      </c>
      <c r="J772" s="13">
        <f t="shared" si="50"/>
        <v>-0.37616131719630236</v>
      </c>
    </row>
    <row r="773" spans="1:10" x14ac:dyDescent="0.25">
      <c r="A773" s="6">
        <v>45579</v>
      </c>
      <c r="B773">
        <f>(Prices!B487/Prices!B486)-1</f>
        <v>-1.0438923142665368E-2</v>
      </c>
      <c r="C773">
        <f>(Prices!C487/Prices!C486)-1</f>
        <v>-6.7131985846541342E-3</v>
      </c>
      <c r="D773">
        <f>(Prices!D487/Prices!D486)-1</f>
        <v>-3.780718336483968E-3</v>
      </c>
      <c r="E773">
        <f>(Prices!E487/Prices!E486)-1</f>
        <v>3.6474164133739606E-3</v>
      </c>
      <c r="F773">
        <f>(Prices!F487/Prices!F486)-1</f>
        <v>-1.2145257978446899E-2</v>
      </c>
      <c r="G773">
        <f t="shared" si="48"/>
        <v>-5.8861363257752819E-3</v>
      </c>
      <c r="H773" s="8">
        <f t="shared" si="51"/>
        <v>661779.96986166132</v>
      </c>
      <c r="I773" s="8">
        <f t="shared" si="49"/>
        <v>1067100.1647020529</v>
      </c>
      <c r="J773" s="13">
        <f t="shared" si="50"/>
        <v>-0.37983331672857706</v>
      </c>
    </row>
    <row r="774" spans="1:10" x14ac:dyDescent="0.25">
      <c r="A774" s="5">
        <v>45580</v>
      </c>
      <c r="B774">
        <f>(Prices!B486/Prices!B485)-1</f>
        <v>-3.0430284218854187E-3</v>
      </c>
      <c r="C774">
        <f>(Prices!C486/Prices!C485)-1</f>
        <v>9.4607379375588607E-4</v>
      </c>
      <c r="D774">
        <f>(Prices!D486/Prices!D485)-1</f>
        <v>3.1006378454996542E-2</v>
      </c>
      <c r="E774">
        <f>(Prices!E486/Prices!E485)-1</f>
        <v>-4.0981697946257389E-3</v>
      </c>
      <c r="F774">
        <f>(Prices!F486/Prices!F485)-1</f>
        <v>8.8279659099479435E-2</v>
      </c>
      <c r="G774">
        <f t="shared" si="48"/>
        <v>2.2618182626344144E-2</v>
      </c>
      <c r="H774" s="8">
        <f t="shared" si="51"/>
        <v>676748.23007844889</v>
      </c>
      <c r="I774" s="8">
        <f t="shared" si="49"/>
        <v>1067100.1647020529</v>
      </c>
      <c r="J774" s="13">
        <f t="shared" si="50"/>
        <v>-0.36580627342756988</v>
      </c>
    </row>
    <row r="775" spans="1:10" x14ac:dyDescent="0.25">
      <c r="A775" s="6">
        <v>45581</v>
      </c>
      <c r="B775">
        <f>(Prices!B485/Prices!B484)-1</f>
        <v>1.8291567587342961E-3</v>
      </c>
      <c r="C775">
        <f>(Prices!C485/Prices!C484)-1</f>
        <v>6.2980593189307932E-3</v>
      </c>
      <c r="D775">
        <f>(Prices!D485/Prices!D484)-1</f>
        <v>-2.5625165679951101E-3</v>
      </c>
      <c r="E775">
        <f>(Prices!E485/Prices!E484)-1</f>
        <v>-5.603408354172501E-3</v>
      </c>
      <c r="F775">
        <f>(Prices!F485/Prices!F484)-1</f>
        <v>-2.6344293293679266E-2</v>
      </c>
      <c r="G775">
        <f t="shared" si="48"/>
        <v>-5.276600427636358E-3</v>
      </c>
      <c r="H775" s="8">
        <f t="shared" si="51"/>
        <v>673177.30007821484</v>
      </c>
      <c r="I775" s="8">
        <f t="shared" si="49"/>
        <v>1067100.1647020529</v>
      </c>
      <c r="J775" s="13">
        <f t="shared" si="50"/>
        <v>-0.36915266031640626</v>
      </c>
    </row>
    <row r="776" spans="1:10" x14ac:dyDescent="0.25">
      <c r="A776" s="5">
        <v>45582</v>
      </c>
      <c r="B776">
        <f>(Prices!B484/Prices!B483)-1</f>
        <v>1.3721490821435145E-2</v>
      </c>
      <c r="C776">
        <f>(Prices!C484/Prices!C483)-1</f>
        <v>-1.4381825273012128E-3</v>
      </c>
      <c r="D776">
        <f>(Prices!D484/Prices!D483)-1</f>
        <v>2.5690999291283489E-3</v>
      </c>
      <c r="E776">
        <f>(Prices!E484/Prices!E483)-1</f>
        <v>-3.4611657206147228E-3</v>
      </c>
      <c r="F776">
        <f>(Prices!F484/Prices!F483)-1</f>
        <v>9.3764476975819466E-3</v>
      </c>
      <c r="G776">
        <f t="shared" si="48"/>
        <v>4.1535380400459015E-3</v>
      </c>
      <c r="H776" s="8">
        <f t="shared" si="51"/>
        <v>675973.36760178511</v>
      </c>
      <c r="I776" s="8">
        <f t="shared" si="49"/>
        <v>1067100.1647020529</v>
      </c>
      <c r="J776" s="13">
        <f t="shared" si="50"/>
        <v>-0.36653241189356867</v>
      </c>
    </row>
    <row r="777" spans="1:10" x14ac:dyDescent="0.25">
      <c r="A777" s="6">
        <v>45583</v>
      </c>
      <c r="B777">
        <f>(Prices!B483/Prices!B482)-1</f>
        <v>-3.0194725166379222E-3</v>
      </c>
      <c r="C777">
        <f>(Prices!C483/Prices!C482)-1</f>
        <v>-3.4494485740660386E-3</v>
      </c>
      <c r="D777">
        <f>(Prices!D483/Prices!D482)-1</f>
        <v>2.842928216062468E-3</v>
      </c>
      <c r="E777">
        <f>(Prices!E483/Prices!E482)-1</f>
        <v>-4.2277468866320778E-3</v>
      </c>
      <c r="F777">
        <f>(Prices!F483/Prices!F482)-1</f>
        <v>-6.2792324973298674E-3</v>
      </c>
      <c r="G777">
        <f t="shared" si="48"/>
        <v>-2.8265944517206877E-3</v>
      </c>
      <c r="H777" s="8">
        <f t="shared" si="51"/>
        <v>674062.66503141087</v>
      </c>
      <c r="I777" s="8">
        <f t="shared" si="49"/>
        <v>1067100.1647020529</v>
      </c>
      <c r="J777" s="13">
        <f t="shared" si="50"/>
        <v>-0.36832296786345525</v>
      </c>
    </row>
    <row r="778" spans="1:10" x14ac:dyDescent="0.25">
      <c r="A778" s="5">
        <v>45586</v>
      </c>
      <c r="B778">
        <f>(Prices!B482/Prices!B481)-1</f>
        <v>-3.9894433192169121E-3</v>
      </c>
      <c r="C778">
        <f>(Prices!C482/Prices!C481)-1</f>
        <v>-1.47961287505749E-3</v>
      </c>
      <c r="D778">
        <f>(Prices!D482/Prices!D481)-1</f>
        <v>-6.2150403977623281E-4</v>
      </c>
      <c r="E778">
        <f>(Prices!E482/Prices!E481)-1</f>
        <v>1.0635333457180041E-2</v>
      </c>
      <c r="F778">
        <f>(Prices!F482/Prices!F481)-1</f>
        <v>-3.2487197841529758E-3</v>
      </c>
      <c r="G778">
        <f t="shared" si="48"/>
        <v>2.5921068779528617E-4</v>
      </c>
      <c r="H778" s="8">
        <f t="shared" si="51"/>
        <v>674237.38927843072</v>
      </c>
      <c r="I778" s="8">
        <f t="shared" si="49"/>
        <v>1067100.1647020529</v>
      </c>
      <c r="J778" s="13">
        <f t="shared" si="50"/>
        <v>-0.36815923042549076</v>
      </c>
    </row>
    <row r="779" spans="1:10" x14ac:dyDescent="0.25">
      <c r="A779" s="6">
        <v>45587</v>
      </c>
      <c r="B779">
        <f>(Prices!B481/Prices!B480)-1</f>
        <v>-6.4638087688273504E-3</v>
      </c>
      <c r="C779">
        <f>(Prices!C481/Prices!C480)-1</f>
        <v>-2.0410587843938677E-2</v>
      </c>
      <c r="D779">
        <f>(Prices!D481/Prices!D480)-1</f>
        <v>-5.1232223301828084E-3</v>
      </c>
      <c r="E779">
        <f>(Prices!E481/Prices!E480)-1</f>
        <v>-4.9907578558225918E-3</v>
      </c>
      <c r="F779">
        <f>(Prices!F481/Prices!F480)-1</f>
        <v>2.8161236885699825E-3</v>
      </c>
      <c r="G779">
        <f t="shared" si="48"/>
        <v>-6.8344506220402888E-3</v>
      </c>
      <c r="H779" s="8">
        <f t="shared" si="51"/>
        <v>669629.34713387396</v>
      </c>
      <c r="I779" s="8">
        <f t="shared" si="49"/>
        <v>1067100.1647020529</v>
      </c>
      <c r="J779" s="13">
        <f t="shared" si="50"/>
        <v>-0.37247751496613962</v>
      </c>
    </row>
    <row r="780" spans="1:10" x14ac:dyDescent="0.25">
      <c r="A780" s="5">
        <v>45588</v>
      </c>
      <c r="B780">
        <f>(Prices!B480/Prices!B479)-1</f>
        <v>1.4538480574115553E-2</v>
      </c>
      <c r="C780">
        <f>(Prices!C480/Prices!C479)-1</f>
        <v>6.8421052631579826E-3</v>
      </c>
      <c r="D780">
        <f>(Prices!D480/Prices!D479)-1</f>
        <v>3.6347517730495049E-3</v>
      </c>
      <c r="E780">
        <f>(Prices!E480/Prices!E479)-1</f>
        <v>3.1522343778973561E-3</v>
      </c>
      <c r="F780">
        <f>(Prices!F480/Prices!F479)-1</f>
        <v>9.2510031208201671E-3</v>
      </c>
      <c r="G780">
        <f t="shared" si="48"/>
        <v>7.4837150218081136E-3</v>
      </c>
      <c r="H780" s="8">
        <f t="shared" si="51"/>
        <v>674640.66233806324</v>
      </c>
      <c r="I780" s="8">
        <f t="shared" si="49"/>
        <v>1067100.1647020529</v>
      </c>
      <c r="J780" s="13">
        <f t="shared" si="50"/>
        <v>-0.3677813155183694</v>
      </c>
    </row>
    <row r="781" spans="1:10" x14ac:dyDescent="0.25">
      <c r="A781" s="6">
        <v>45589</v>
      </c>
      <c r="B781">
        <f>(Prices!B479/Prices!B478)-1</f>
        <v>3.0942508818609937E-4</v>
      </c>
      <c r="C781">
        <f>(Prices!C479/Prices!C478)-1</f>
        <v>-2.8699894767059142E-4</v>
      </c>
      <c r="D781">
        <f>(Prices!D479/Prices!D478)-1</f>
        <v>5.616474993313636E-3</v>
      </c>
      <c r="E781">
        <f>(Prices!E479/Prices!E478)-1</f>
        <v>-6.9511577590571916E-3</v>
      </c>
      <c r="F781">
        <f>(Prices!F479/Prices!F478)-1</f>
        <v>6.8266407316663891E-3</v>
      </c>
      <c r="G781">
        <f t="shared" si="48"/>
        <v>1.1028768212876683E-3</v>
      </c>
      <c r="H781" s="8">
        <f t="shared" si="51"/>
        <v>675384.70788725407</v>
      </c>
      <c r="I781" s="8">
        <f t="shared" si="49"/>
        <v>1067100.1647020529</v>
      </c>
      <c r="J781" s="13">
        <f t="shared" si="50"/>
        <v>-0.36708405618526962</v>
      </c>
    </row>
    <row r="782" spans="1:10" x14ac:dyDescent="0.25">
      <c r="A782" s="5">
        <v>45590</v>
      </c>
      <c r="B782">
        <f>(Prices!B478/Prices!B477)-1</f>
        <v>-1.5415549597855183E-2</v>
      </c>
      <c r="C782">
        <f>(Prices!C478/Prices!C477)-1</f>
        <v>-7.9954447317848176E-3</v>
      </c>
      <c r="D782">
        <f>(Prices!D478/Prices!D477)-1</f>
        <v>8.9229945569746505E-4</v>
      </c>
      <c r="E782">
        <f>(Prices!E478/Prices!E477)-1</f>
        <v>1.2019566736547693E-2</v>
      </c>
      <c r="F782">
        <f>(Prices!F478/Prices!F477)-1</f>
        <v>-6.6327288941736562E-3</v>
      </c>
      <c r="G782">
        <f t="shared" si="48"/>
        <v>-3.4263714063136994E-3</v>
      </c>
      <c r="H782" s="8">
        <f t="shared" si="51"/>
        <v>673070.58903588762</v>
      </c>
      <c r="I782" s="8">
        <f t="shared" si="49"/>
        <v>1067100.1647020529</v>
      </c>
      <c r="J782" s="13">
        <f t="shared" si="50"/>
        <v>-0.36925266127775652</v>
      </c>
    </row>
    <row r="783" spans="1:10" x14ac:dyDescent="0.25">
      <c r="A783" s="6">
        <v>45593</v>
      </c>
      <c r="B783">
        <f>(Prices!B477/Prices!B476)-1</f>
        <v>-8.6977530804541736E-3</v>
      </c>
      <c r="C783">
        <f>(Prices!C477/Prices!C476)-1</f>
        <v>3.6432041146776672E-3</v>
      </c>
      <c r="D783">
        <f>(Prices!D477/Prices!D476)-1</f>
        <v>4.9318507890960817E-3</v>
      </c>
      <c r="E783">
        <f>(Prices!E477/Prices!E476)-1</f>
        <v>-1.4145960593395457E-2</v>
      </c>
      <c r="F783">
        <f>(Prices!F477/Prices!F476)-1</f>
        <v>-1.2061830800348394E-3</v>
      </c>
      <c r="G783">
        <f t="shared" si="48"/>
        <v>-3.0949683700221445E-3</v>
      </c>
      <c r="H783" s="8">
        <f t="shared" si="51"/>
        <v>670987.45685202943</v>
      </c>
      <c r="I783" s="8">
        <f t="shared" si="49"/>
        <v>1067100.1647020529</v>
      </c>
      <c r="J783" s="13">
        <f t="shared" si="50"/>
        <v>-0.37120480434057745</v>
      </c>
    </row>
    <row r="784" spans="1:10" x14ac:dyDescent="0.25">
      <c r="A784" s="5">
        <v>45594</v>
      </c>
      <c r="B784">
        <f>(Prices!B476/Prices!B475)-1</f>
        <v>-1.7448071216617178E-2</v>
      </c>
      <c r="C784">
        <f>(Prices!C476/Prices!C475)-1</f>
        <v>-1.2393293041413012E-2</v>
      </c>
      <c r="D784">
        <f>(Prices!D476/Prices!D475)-1</f>
        <v>1.381818181818173E-2</v>
      </c>
      <c r="E784">
        <f>(Prices!E476/Prices!E475)-1</f>
        <v>1.1662484899172876E-2</v>
      </c>
      <c r="F784">
        <f>(Prices!F476/Prices!F475)-1</f>
        <v>5.5231093612972959E-3</v>
      </c>
      <c r="G784">
        <f t="shared" si="48"/>
        <v>2.3248236412434222E-4</v>
      </c>
      <c r="H784" s="8">
        <f t="shared" si="51"/>
        <v>671143.44960229623</v>
      </c>
      <c r="I784" s="8">
        <f t="shared" si="49"/>
        <v>1067100.1647020529</v>
      </c>
      <c r="J784" s="13">
        <f t="shared" si="50"/>
        <v>-0.37105862054694044</v>
      </c>
    </row>
    <row r="785" spans="1:10" x14ac:dyDescent="0.25">
      <c r="A785" s="6">
        <v>45595</v>
      </c>
      <c r="B785">
        <f>(Prices!B475/Prices!B474)-1</f>
        <v>-2.7360886631263015E-2</v>
      </c>
      <c r="C785">
        <f>(Prices!C475/Prices!C474)-1</f>
        <v>-1.3386566463128302E-3</v>
      </c>
      <c r="D785">
        <f>(Prices!D475/Prices!D474)-1</f>
        <v>5.0251256281406143E-3</v>
      </c>
      <c r="E785">
        <f>(Prices!E475/Prices!E474)-1</f>
        <v>-6.7380468894222556E-3</v>
      </c>
      <c r="F785">
        <f>(Prices!F475/Prices!F474)-1</f>
        <v>-1.4719034133254816E-3</v>
      </c>
      <c r="G785">
        <f t="shared" si="48"/>
        <v>-6.3768735904365936E-3</v>
      </c>
      <c r="H785" s="8">
        <f t="shared" si="51"/>
        <v>666863.65266313287</v>
      </c>
      <c r="I785" s="8">
        <f t="shared" si="49"/>
        <v>1067100.1647020529</v>
      </c>
      <c r="J785" s="13">
        <f t="shared" si="50"/>
        <v>-0.37506930021950741</v>
      </c>
    </row>
    <row r="786" spans="1:10" x14ac:dyDescent="0.25">
      <c r="A786" s="5">
        <v>45596</v>
      </c>
      <c r="B786">
        <f>(Prices!B474/Prices!B473)-1</f>
        <v>1.9538606403013414E-2</v>
      </c>
      <c r="C786">
        <f>(Prices!C474/Prices!C473)-1</f>
        <v>6.4420168487363538E-2</v>
      </c>
      <c r="D786">
        <f>(Prices!D474/Prices!D473)-1</f>
        <v>-7.3039349949788335E-4</v>
      </c>
      <c r="E786">
        <f>(Prices!E474/Prices!E473)-1</f>
        <v>1.1200298674631348E-2</v>
      </c>
      <c r="F786">
        <f>(Prices!F474/Prices!F473)-1</f>
        <v>-2.7313773946004982E-3</v>
      </c>
      <c r="G786">
        <f t="shared" si="48"/>
        <v>1.8339460534181982E-2</v>
      </c>
      <c r="H786" s="8">
        <f t="shared" si="51"/>
        <v>679093.57230282889</v>
      </c>
      <c r="I786" s="8">
        <f t="shared" si="49"/>
        <v>1067100.1647020529</v>
      </c>
      <c r="J786" s="13">
        <f t="shared" si="50"/>
        <v>-0.36360840831428426</v>
      </c>
    </row>
    <row r="787" spans="1:10" x14ac:dyDescent="0.25">
      <c r="A787" s="6">
        <v>45597</v>
      </c>
      <c r="B787">
        <f>(Prices!B473/Prices!B472)-1</f>
        <v>-1.0582010582010914E-3</v>
      </c>
      <c r="C787">
        <f>(Prices!C473/Prices!C472)-1</f>
        <v>-9.8022228272978129E-3</v>
      </c>
      <c r="D787">
        <f>(Prices!D473/Prices!D472)-1</f>
        <v>1.5953993136072819E-2</v>
      </c>
      <c r="E787">
        <f>(Prices!E473/Prices!E472)-1</f>
        <v>-4.5526340239709917E-3</v>
      </c>
      <c r="F787">
        <f>(Prices!F473/Prices!F472)-1</f>
        <v>-5.377933838477067E-3</v>
      </c>
      <c r="G787">
        <f t="shared" si="48"/>
        <v>-9.6739972237482887E-4</v>
      </c>
      <c r="H787" s="8">
        <f t="shared" si="51"/>
        <v>678436.61736951664</v>
      </c>
      <c r="I787" s="8">
        <f t="shared" si="49"/>
        <v>1067100.1647020529</v>
      </c>
      <c r="J787" s="13">
        <f t="shared" si="50"/>
        <v>-0.36422405336340269</v>
      </c>
    </row>
    <row r="788" spans="1:10" x14ac:dyDescent="0.25">
      <c r="A788" s="5">
        <v>45600</v>
      </c>
      <c r="B788">
        <f>(Prices!B472/Prices!B471)-1</f>
        <v>1.2138521956444048E-2</v>
      </c>
      <c r="C788">
        <f>(Prices!C472/Prices!C471)-1</f>
        <v>4.6753375941905873E-3</v>
      </c>
      <c r="D788">
        <f>(Prices!D472/Prices!D471)-1</f>
        <v>-3.0921348314606689E-2</v>
      </c>
      <c r="E788">
        <f>(Prices!E472/Prices!E471)-1</f>
        <v>1.4372555487488725E-2</v>
      </c>
      <c r="F788">
        <f>(Prices!F472/Prices!F471)-1</f>
        <v>1.7545179306843295E-2</v>
      </c>
      <c r="G788">
        <f t="shared" si="48"/>
        <v>3.5620492060719931E-3</v>
      </c>
      <c r="H788" s="8">
        <f t="shared" si="51"/>
        <v>680853.24198378786</v>
      </c>
      <c r="I788" s="8">
        <f t="shared" si="49"/>
        <v>1067100.1647020529</v>
      </c>
      <c r="J788" s="13">
        <f t="shared" si="50"/>
        <v>-0.36195938815744616</v>
      </c>
    </row>
    <row r="789" spans="1:10" x14ac:dyDescent="0.25">
      <c r="A789" s="6">
        <v>45601</v>
      </c>
      <c r="B789">
        <f>(Prices!B471/Prices!B470)-1</f>
        <v>-2.9663028001898351E-3</v>
      </c>
      <c r="C789">
        <f>(Prices!C471/Prices!C470)-1</f>
        <v>-7.2828716733323029E-3</v>
      </c>
      <c r="D789">
        <f>(Prices!D471/Prices!D470)-1</f>
        <v>-2.9575192686861485E-3</v>
      </c>
      <c r="E789">
        <f>(Prices!E471/Prices!E470)-1</f>
        <v>-7.715327784531989E-3</v>
      </c>
      <c r="F789">
        <f>(Prices!F471/Prices!F470)-1</f>
        <v>-1.6333703292637836E-2</v>
      </c>
      <c r="G789">
        <f t="shared" si="48"/>
        <v>-7.4511449638756224E-3</v>
      </c>
      <c r="H789" s="8">
        <f t="shared" si="51"/>
        <v>675780.10577864188</v>
      </c>
      <c r="I789" s="8">
        <f t="shared" si="49"/>
        <v>1067100.1647020529</v>
      </c>
      <c r="J789" s="13">
        <f t="shared" si="50"/>
        <v>-0.36671352124912499</v>
      </c>
    </row>
    <row r="790" spans="1:10" x14ac:dyDescent="0.25">
      <c r="A790" s="5">
        <v>45602</v>
      </c>
      <c r="B790">
        <f>(Prices!B470/Prices!B469)-1</f>
        <v>-3.8338658146964799E-2</v>
      </c>
      <c r="C790">
        <f>(Prices!C470/Prices!C469)-1</f>
        <v>-2.0766348362141862E-2</v>
      </c>
      <c r="D790">
        <f>(Prices!D470/Prices!D469)-1</f>
        <v>-1.6829676623490997E-2</v>
      </c>
      <c r="E790">
        <f>(Prices!E470/Prices!E469)-1</f>
        <v>-0.10350031439949692</v>
      </c>
      <c r="F790">
        <f>(Prices!F470/Prices!F469)-1</f>
        <v>-4.9711714245534999E-2</v>
      </c>
      <c r="G790">
        <f t="shared" si="48"/>
        <v>-4.5829342355525916E-2</v>
      </c>
      <c r="H790" s="8">
        <f t="shared" si="51"/>
        <v>644809.54795385897</v>
      </c>
      <c r="I790" s="8">
        <f t="shared" si="49"/>
        <v>1067100.1647020529</v>
      </c>
      <c r="J790" s="13">
        <f t="shared" si="50"/>
        <v>-0.39573662409292432</v>
      </c>
    </row>
    <row r="791" spans="1:10" x14ac:dyDescent="0.25">
      <c r="A791" s="6">
        <v>45603</v>
      </c>
      <c r="B791">
        <f>(Prices!B469/Prices!B468)-1</f>
        <v>-2.3455345701710484E-2</v>
      </c>
      <c r="C791">
        <f>(Prices!C469/Prices!C468)-1</f>
        <v>-1.2320622716745167E-2</v>
      </c>
      <c r="D791">
        <f>(Prices!D469/Prices!D468)-1</f>
        <v>-1.2320689958638109E-3</v>
      </c>
      <c r="E791">
        <f>(Prices!E469/Prices!E468)-1</f>
        <v>4.5171749036102327E-2</v>
      </c>
      <c r="F791">
        <f>(Prices!F469/Prices!F468)-1</f>
        <v>-1.4465637614122673E-2</v>
      </c>
      <c r="G791">
        <f t="shared" si="48"/>
        <v>-1.2603851984679605E-3</v>
      </c>
      <c r="H791" s="8">
        <f t="shared" si="51"/>
        <v>643996.83954378718</v>
      </c>
      <c r="I791" s="8">
        <f t="shared" si="49"/>
        <v>1067100.1647020529</v>
      </c>
      <c r="J791" s="13">
        <f t="shared" si="50"/>
        <v>-0.39649822870789381</v>
      </c>
    </row>
    <row r="792" spans="1:10" x14ac:dyDescent="0.25">
      <c r="A792" s="5">
        <v>45604</v>
      </c>
      <c r="B792">
        <f>(Prices!B468/Prices!B467)-1</f>
        <v>1.3437976398848139E-2</v>
      </c>
      <c r="C792">
        <f>(Prices!C468/Prices!C467)-1</f>
        <v>6.8274154386132047E-3</v>
      </c>
      <c r="D792">
        <f>(Prices!D468/Prices!D467)-1</f>
        <v>3.521436746192208E-4</v>
      </c>
      <c r="E792">
        <f>(Prices!E468/Prices!E467)-1</f>
        <v>-2.5347434664800828E-3</v>
      </c>
      <c r="F792">
        <f>(Prices!F468/Prices!F467)-1</f>
        <v>-1.6828192331931002E-2</v>
      </c>
      <c r="G792">
        <f t="shared" si="48"/>
        <v>2.5091994273389578E-4</v>
      </c>
      <c r="H792" s="8">
        <f t="shared" si="51"/>
        <v>644158.43119388632</v>
      </c>
      <c r="I792" s="8">
        <f t="shared" si="49"/>
        <v>1067100.1647020529</v>
      </c>
      <c r="J792" s="13">
        <f t="shared" si="50"/>
        <v>-0.39634679807800138</v>
      </c>
    </row>
    <row r="793" spans="1:10" x14ac:dyDescent="0.25">
      <c r="A793" s="6">
        <v>45607</v>
      </c>
      <c r="B793">
        <f>(Prices!B467/Prices!B466)-1</f>
        <v>-1.1055893684739471E-2</v>
      </c>
      <c r="C793">
        <f>(Prices!C467/Prices!C466)-1</f>
        <v>1.0838132730675021E-2</v>
      </c>
      <c r="D793">
        <f>(Prices!D467/Prices!D466)-1</f>
        <v>5.3102044428712247E-3</v>
      </c>
      <c r="E793">
        <f>(Prices!E467/Prices!E466)-1</f>
        <v>-9.6515905648129063E-3</v>
      </c>
      <c r="F793">
        <f>(Prices!F467/Prices!F466)-1</f>
        <v>-1.5097884618610613E-2</v>
      </c>
      <c r="G793">
        <f t="shared" si="48"/>
        <v>-3.9314063389233487E-3</v>
      </c>
      <c r="H793" s="8">
        <f t="shared" si="51"/>
        <v>641625.98265421984</v>
      </c>
      <c r="I793" s="8">
        <f t="shared" si="49"/>
        <v>1067100.1647020529</v>
      </c>
      <c r="J793" s="13">
        <f t="shared" si="50"/>
        <v>-0.39872000410254888</v>
      </c>
    </row>
    <row r="794" spans="1:10" x14ac:dyDescent="0.25">
      <c r="A794" s="5">
        <v>45608</v>
      </c>
      <c r="B794">
        <f>(Prices!B466/Prices!B465)-1</f>
        <v>-6.9864153035763543E-3</v>
      </c>
      <c r="C794">
        <f>(Prices!C466/Prices!C465)-1</f>
        <v>-1.1862168327530287E-2</v>
      </c>
      <c r="D794">
        <f>(Prices!D466/Prices!D465)-1</f>
        <v>9.7448618001427789E-4</v>
      </c>
      <c r="E794">
        <f>(Prices!E466/Prices!E465)-1</f>
        <v>-1.1240326834118797E-3</v>
      </c>
      <c r="F794">
        <f>(Prices!F466/Prices!F465)-1</f>
        <v>1.7217842394457561E-2</v>
      </c>
      <c r="G794">
        <f t="shared" si="48"/>
        <v>-3.5605754800933616E-4</v>
      </c>
      <c r="H794" s="8">
        <f t="shared" si="51"/>
        <v>641397.52688009688</v>
      </c>
      <c r="I794" s="8">
        <f t="shared" si="49"/>
        <v>1067100.1647020529</v>
      </c>
      <c r="J794" s="13">
        <f t="shared" si="50"/>
        <v>-0.3989340943835552</v>
      </c>
    </row>
    <row r="795" spans="1:10" x14ac:dyDescent="0.25">
      <c r="A795" s="6">
        <v>45609</v>
      </c>
      <c r="B795">
        <f>(Prices!B465/Prices!B464)-1</f>
        <v>1.5312728705736633E-2</v>
      </c>
      <c r="C795">
        <f>(Prices!C465/Prices!C464)-1</f>
        <v>-5.1124011562626581E-3</v>
      </c>
      <c r="D795">
        <f>(Prices!D465/Prices!D464)-1</f>
        <v>-9.2161853769859858E-3</v>
      </c>
      <c r="E795">
        <f>(Prices!E465/Prices!E464)-1</f>
        <v>-6.6136998067425345E-3</v>
      </c>
      <c r="F795">
        <f>(Prices!F465/Prices!F464)-1</f>
        <v>1.4524868860689377E-2</v>
      </c>
      <c r="G795">
        <f t="shared" si="48"/>
        <v>1.7790622452869668E-3</v>
      </c>
      <c r="H795" s="8">
        <f t="shared" si="51"/>
        <v>642538.61300438968</v>
      </c>
      <c r="I795" s="8">
        <f t="shared" si="49"/>
        <v>1067100.1647020529</v>
      </c>
      <c r="J795" s="13">
        <f t="shared" si="50"/>
        <v>-0.39786476072394378</v>
      </c>
    </row>
    <row r="796" spans="1:10" x14ac:dyDescent="0.25">
      <c r="A796" s="5">
        <v>45610</v>
      </c>
      <c r="B796">
        <f>(Prices!B464/Prices!B463)-1</f>
        <v>1.8754301445285559E-2</v>
      </c>
      <c r="C796">
        <f>(Prices!C464/Prices!C463)-1</f>
        <v>-3.9500297441998899E-3</v>
      </c>
      <c r="D796">
        <f>(Prices!D464/Prices!D463)-1</f>
        <v>-6.1403508771928905E-4</v>
      </c>
      <c r="E796">
        <f>(Prices!E464/Prices!E463)-1</f>
        <v>-2.9545259912648891E-3</v>
      </c>
      <c r="F796">
        <f>(Prices!F464/Prices!F463)-1</f>
        <v>2.145004420866492E-2</v>
      </c>
      <c r="G796">
        <f t="shared" si="48"/>
        <v>6.5371509661532826E-3</v>
      </c>
      <c r="H796" s="8">
        <f t="shared" si="51"/>
        <v>646738.98491918214</v>
      </c>
      <c r="I796" s="8">
        <f t="shared" si="49"/>
        <v>1067100.1647020529</v>
      </c>
      <c r="J796" s="13">
        <f t="shared" si="50"/>
        <v>-0.39392851176275534</v>
      </c>
    </row>
    <row r="797" spans="1:10" x14ac:dyDescent="0.25">
      <c r="A797" s="6">
        <v>45611</v>
      </c>
      <c r="B797">
        <f>(Prices!B463/Prices!B462)-1</f>
        <v>1.7922820946932205E-2</v>
      </c>
      <c r="C797">
        <f>(Prices!C463/Prices!C462)-1</f>
        <v>2.8637865622322733E-2</v>
      </c>
      <c r="D797">
        <f>(Prices!D463/Prices!D462)-1</f>
        <v>1.0459138450629402E-2</v>
      </c>
      <c r="E797">
        <f>(Prices!E463/Prices!E462)-1</f>
        <v>-1.4016718736806655E-2</v>
      </c>
      <c r="F797">
        <f>(Prices!F463/Prices!F462)-1</f>
        <v>1.5585703659097838E-3</v>
      </c>
      <c r="G797">
        <f t="shared" si="48"/>
        <v>8.9123353297974953E-3</v>
      </c>
      <c r="H797" s="8">
        <f t="shared" si="51"/>
        <v>652502.9396236348</v>
      </c>
      <c r="I797" s="8">
        <f t="shared" si="49"/>
        <v>1067100.1647020529</v>
      </c>
      <c r="J797" s="13">
        <f t="shared" si="50"/>
        <v>-0.38852699942575553</v>
      </c>
    </row>
    <row r="798" spans="1:10" x14ac:dyDescent="0.25">
      <c r="A798" s="5">
        <v>45614</v>
      </c>
      <c r="B798">
        <f>(Prices!B462/Prices!B461)-1</f>
        <v>-1.6027113970588314E-2</v>
      </c>
      <c r="C798">
        <f>(Prices!C462/Prices!C461)-1</f>
        <v>-1.8080089911798325E-3</v>
      </c>
      <c r="D798">
        <f>(Prices!D462/Prices!D461)-1</f>
        <v>-8.3501801880988547E-3</v>
      </c>
      <c r="E798">
        <f>(Prices!E462/Prices!E461)-1</f>
        <v>1.1412147597109623E-3</v>
      </c>
      <c r="F798">
        <f>(Prices!F462/Prices!F461)-1</f>
        <v>4.375978369147715E-3</v>
      </c>
      <c r="G798">
        <f t="shared" si="48"/>
        <v>-4.133622004201665E-3</v>
      </c>
      <c r="H798" s="8">
        <f t="shared" si="51"/>
        <v>649805.73911460023</v>
      </c>
      <c r="I798" s="8">
        <f t="shared" si="49"/>
        <v>1067100.1647020529</v>
      </c>
      <c r="J798" s="13">
        <f t="shared" si="50"/>
        <v>-0.39105459767590445</v>
      </c>
    </row>
    <row r="799" spans="1:10" x14ac:dyDescent="0.25">
      <c r="A799" s="6">
        <v>45615</v>
      </c>
      <c r="B799">
        <f>(Prices!B461/Prices!B460)-1</f>
        <v>-1.5829941203075459E-2</v>
      </c>
      <c r="C799">
        <f>(Prices!C461/Prices!C460)-1</f>
        <v>-4.8627489119599243E-3</v>
      </c>
      <c r="D799">
        <f>(Prices!D461/Prices!D460)-1</f>
        <v>1.4173649491888041E-2</v>
      </c>
      <c r="E799">
        <f>(Prices!E461/Prices!E460)-1</f>
        <v>7.9669393319701243E-3</v>
      </c>
      <c r="F799">
        <f>(Prices!F461/Prices!F460)-1</f>
        <v>2.1923286675149978E-2</v>
      </c>
      <c r="G799">
        <f t="shared" si="48"/>
        <v>4.6742370767945528E-3</v>
      </c>
      <c r="H799" s="8">
        <f t="shared" si="51"/>
        <v>652843.08519308351</v>
      </c>
      <c r="I799" s="8">
        <f t="shared" si="49"/>
        <v>1067100.1647020529</v>
      </c>
      <c r="J799" s="13">
        <f t="shared" si="50"/>
        <v>-0.38820824249861768</v>
      </c>
    </row>
    <row r="800" spans="1:10" x14ac:dyDescent="0.25">
      <c r="A800" s="5">
        <v>45616</v>
      </c>
      <c r="B800">
        <f>(Prices!B460/Prices!B459)-1</f>
        <v>1.2188841201716816E-2</v>
      </c>
      <c r="C800">
        <f>(Prices!C460/Prices!C459)-1</f>
        <v>5.5252670953231942E-3</v>
      </c>
      <c r="D800">
        <f>(Prices!D460/Prices!D459)-1</f>
        <v>-1.4062225347161172E-2</v>
      </c>
      <c r="E800">
        <f>(Prices!E460/Prices!E459)-1</f>
        <v>9.5918104004473204E-3</v>
      </c>
      <c r="F800">
        <f>(Prices!F460/Prices!F459)-1</f>
        <v>-3.9143421075614304E-2</v>
      </c>
      <c r="G800">
        <f t="shared" si="48"/>
        <v>-5.1799455450576293E-3</v>
      </c>
      <c r="H800" s="8">
        <f t="shared" si="51"/>
        <v>649461.39356231596</v>
      </c>
      <c r="I800" s="8">
        <f t="shared" si="49"/>
        <v>1067100.1647020529</v>
      </c>
      <c r="J800" s="13">
        <f t="shared" si="50"/>
        <v>-0.3913772904873899</v>
      </c>
    </row>
    <row r="801" spans="1:10" x14ac:dyDescent="0.25">
      <c r="A801" s="6">
        <v>45617</v>
      </c>
      <c r="B801">
        <f>(Prices!B459/Prices!B458)-1</f>
        <v>4.9801754175177182E-2</v>
      </c>
      <c r="C801">
        <f>(Prices!C459/Prices!C458)-1</f>
        <v>4.3461179590433829E-3</v>
      </c>
      <c r="D801">
        <f>(Prices!D459/Prices!D458)-1</f>
        <v>-1.3183000867302619E-2</v>
      </c>
      <c r="E801">
        <f>(Prices!E459/Prices!E458)-1</f>
        <v>-1.6248466127872008E-2</v>
      </c>
      <c r="F801">
        <f>(Prices!F459/Prices!F458)-1</f>
        <v>5.0382697844253421E-3</v>
      </c>
      <c r="G801">
        <f t="shared" si="48"/>
        <v>5.9509349846942573E-3</v>
      </c>
      <c r="H801" s="8">
        <f t="shared" si="51"/>
        <v>653326.29609047424</v>
      </c>
      <c r="I801" s="8">
        <f t="shared" si="49"/>
        <v>1067100.1647020529</v>
      </c>
      <c r="J801" s="13">
        <f t="shared" si="50"/>
        <v>-0.38775541631287191</v>
      </c>
    </row>
    <row r="802" spans="1:10" x14ac:dyDescent="0.25">
      <c r="A802" s="5">
        <v>45618</v>
      </c>
      <c r="B802">
        <f>(Prices!B458/Prices!B457)-1</f>
        <v>1.7419473137338715E-2</v>
      </c>
      <c r="C802">
        <f>(Prices!C458/Prices!C457)-1</f>
        <v>-9.9188019643117187E-3</v>
      </c>
      <c r="D802">
        <f>(Prices!D458/Prices!D457)-1</f>
        <v>1.1287661717460651E-3</v>
      </c>
      <c r="E802">
        <f>(Prices!E458/Prices!E457)-1</f>
        <v>-1.5250635443143423E-2</v>
      </c>
      <c r="F802">
        <f>(Prices!F458/Prices!F457)-1</f>
        <v>1.1201249711536576E-2</v>
      </c>
      <c r="G802">
        <f t="shared" si="48"/>
        <v>9.1601032263324248E-4</v>
      </c>
      <c r="H802" s="8">
        <f t="shared" si="51"/>
        <v>653924.74972174095</v>
      </c>
      <c r="I802" s="8">
        <f t="shared" si="49"/>
        <v>1067100.1647020529</v>
      </c>
      <c r="J802" s="13">
        <f t="shared" si="50"/>
        <v>-0.38719459395423811</v>
      </c>
    </row>
    <row r="803" spans="1:10" x14ac:dyDescent="0.25">
      <c r="A803" s="6">
        <v>45621</v>
      </c>
      <c r="B803">
        <f>(Prices!B457/Prices!B456)-1</f>
        <v>-1.7239308024987854E-2</v>
      </c>
      <c r="C803">
        <f>(Prices!C457/Prices!C456)-1</f>
        <v>-4.2604696199468606E-3</v>
      </c>
      <c r="D803">
        <f>(Prices!D457/Prices!D456)-1</f>
        <v>1.5160863816659376E-2</v>
      </c>
      <c r="E803">
        <f>(Prices!E457/Prices!E456)-1</f>
        <v>-6.9516282534033413E-3</v>
      </c>
      <c r="F803">
        <f>(Prices!F457/Prices!F456)-1</f>
        <v>-2.4688793088523009E-2</v>
      </c>
      <c r="G803">
        <f t="shared" si="48"/>
        <v>-7.5958670340403383E-3</v>
      </c>
      <c r="H803" s="8">
        <f t="shared" si="51"/>
        <v>648957.62427258654</v>
      </c>
      <c r="I803" s="8">
        <f t="shared" si="49"/>
        <v>1067100.1647020529</v>
      </c>
      <c r="J803" s="13">
        <f t="shared" si="50"/>
        <v>-0.39184938233630279</v>
      </c>
    </row>
    <row r="804" spans="1:10" x14ac:dyDescent="0.25">
      <c r="A804" s="5">
        <v>45622</v>
      </c>
      <c r="B804">
        <f>(Prices!B456/Prices!B455)-1</f>
        <v>-8.6935810408479419E-3</v>
      </c>
      <c r="C804">
        <f>(Prices!C456/Prices!C455)-1</f>
        <v>-2.1507413899284678E-2</v>
      </c>
      <c r="D804">
        <f>(Prices!D456/Prices!D455)-1</f>
        <v>1.694155611330217E-2</v>
      </c>
      <c r="E804">
        <f>(Prices!E456/Prices!E455)-1</f>
        <v>1.284388465362829E-3</v>
      </c>
      <c r="F804">
        <f>(Prices!F456/Prices!F455)-1</f>
        <v>-1.5902923026395177E-3</v>
      </c>
      <c r="G804">
        <f t="shared" si="48"/>
        <v>-2.7130685328214279E-3</v>
      </c>
      <c r="H804" s="8">
        <f t="shared" si="51"/>
        <v>647196.95776303811</v>
      </c>
      <c r="I804" s="8">
        <f t="shared" si="49"/>
        <v>1067100.1647020529</v>
      </c>
      <c r="J804" s="13">
        <f t="shared" si="50"/>
        <v>-0.39349933664030201</v>
      </c>
    </row>
    <row r="805" spans="1:10" x14ac:dyDescent="0.25">
      <c r="A805" s="6">
        <v>45623</v>
      </c>
      <c r="B805">
        <f>(Prices!B455/Prices!B454)-1</f>
        <v>-6.5456709312716743E-4</v>
      </c>
      <c r="C805">
        <f>(Prices!C455/Prices!C454)-1</f>
        <v>1.1815458358298336E-2</v>
      </c>
      <c r="D805">
        <f>(Prices!D455/Prices!D454)-1</f>
        <v>2.6963868416320924E-3</v>
      </c>
      <c r="E805">
        <f>(Prices!E455/Prices!E454)-1</f>
        <v>7.0483850905933565E-4</v>
      </c>
      <c r="F805">
        <f>(Prices!F455/Prices!F454)-1</f>
        <v>-2.6033585048791386E-3</v>
      </c>
      <c r="G805">
        <f t="shared" si="48"/>
        <v>2.3917516221966914E-3</v>
      </c>
      <c r="H805" s="8">
        <f t="shared" si="51"/>
        <v>648744.89213664865</v>
      </c>
      <c r="I805" s="8">
        <f t="shared" si="49"/>
        <v>1067100.1647020529</v>
      </c>
      <c r="J805" s="13">
        <f t="shared" si="50"/>
        <v>-0.39204873769484805</v>
      </c>
    </row>
    <row r="806" spans="1:10" x14ac:dyDescent="0.25">
      <c r="A806" s="5">
        <v>45625</v>
      </c>
      <c r="B806">
        <f>(Prices!B454/Prices!B453)-1</f>
        <v>1.6689515407999345E-3</v>
      </c>
      <c r="C806">
        <f>(Prices!C454/Prices!C453)-1</f>
        <v>-1.1012424888079408E-3</v>
      </c>
      <c r="D806">
        <f>(Prices!D454/Prices!D453)-1</f>
        <v>-2.5997310623038228E-3</v>
      </c>
      <c r="E806">
        <f>(Prices!E454/Prices!E453)-1</f>
        <v>2.9031187790318214E-4</v>
      </c>
      <c r="F806">
        <f>(Prices!F454/Prices!F453)-1</f>
        <v>-2.9909240924093083E-3</v>
      </c>
      <c r="G806">
        <f t="shared" si="48"/>
        <v>-9.4652684496359112E-4</v>
      </c>
      <c r="H806" s="8">
        <f t="shared" si="51"/>
        <v>648130.83768070838</v>
      </c>
      <c r="I806" s="8">
        <f t="shared" si="49"/>
        <v>1067100.1647020529</v>
      </c>
      <c r="J806" s="13">
        <f t="shared" si="50"/>
        <v>-0.39262417988504927</v>
      </c>
    </row>
    <row r="807" spans="1:10" x14ac:dyDescent="0.25">
      <c r="A807" s="6">
        <v>45628</v>
      </c>
      <c r="B807">
        <f>(Prices!B453/Prices!B452)-1</f>
        <v>-1.4798285278054935E-2</v>
      </c>
      <c r="C807">
        <f>(Prices!C453/Prices!C452)-1</f>
        <v>-1.7453484816409182E-2</v>
      </c>
      <c r="D807">
        <f>(Prices!D453/Prices!D452)-1</f>
        <v>9.8707824838473179E-4</v>
      </c>
      <c r="E807">
        <f>(Prices!E453/Prices!E452)-1</f>
        <v>1.4089245909912895E-2</v>
      </c>
      <c r="F807">
        <f>(Prices!F453/Prices!F452)-1</f>
        <v>2.7751443592174407E-3</v>
      </c>
      <c r="G807">
        <f t="shared" si="48"/>
        <v>-2.88006031538981E-3</v>
      </c>
      <c r="H807" s="8">
        <f t="shared" si="51"/>
        <v>646264.18177592382</v>
      </c>
      <c r="I807" s="8">
        <f t="shared" si="49"/>
        <v>1067100.1647020529</v>
      </c>
      <c r="J807" s="13">
        <f t="shared" si="50"/>
        <v>-0.39437345888108971</v>
      </c>
    </row>
    <row r="808" spans="1:10" x14ac:dyDescent="0.25">
      <c r="A808" s="5">
        <v>45629</v>
      </c>
      <c r="B808">
        <f>(Prices!B452/Prices!B451)-1</f>
        <v>8.2280340875695579E-4</v>
      </c>
      <c r="C808">
        <f>(Prices!C452/Prices!C451)-1</f>
        <v>-4.9372266892366845E-4</v>
      </c>
      <c r="D808">
        <f>(Prices!D452/Prices!D451)-1</f>
        <v>1.5278152242292897E-3</v>
      </c>
      <c r="E808">
        <f>(Prices!E452/Prices!E451)-1</f>
        <v>5.837810398071186E-3</v>
      </c>
      <c r="F808">
        <f>(Prices!F452/Prices!F451)-1</f>
        <v>5.4244220304322521E-3</v>
      </c>
      <c r="G808">
        <f t="shared" si="48"/>
        <v>2.6238256785132033E-3</v>
      </c>
      <c r="H808" s="8">
        <f t="shared" si="51"/>
        <v>647959.86633117078</v>
      </c>
      <c r="I808" s="8">
        <f t="shared" si="49"/>
        <v>1067100.1647020529</v>
      </c>
      <c r="J808" s="13">
        <f t="shared" si="50"/>
        <v>-0.39278440041091278</v>
      </c>
    </row>
    <row r="809" spans="1:10" x14ac:dyDescent="0.25">
      <c r="A809" s="6">
        <v>45630</v>
      </c>
      <c r="B809">
        <f>(Prices!B451/Prices!B450)-1</f>
        <v>-1.7326017903551816E-2</v>
      </c>
      <c r="C809">
        <f>(Prices!C451/Prices!C450)-1</f>
        <v>-1.4230091777139298E-2</v>
      </c>
      <c r="D809">
        <f>(Prices!D451/Prices!D450)-1</f>
        <v>2.9610437679282064E-2</v>
      </c>
      <c r="E809">
        <f>(Prices!E451/Prices!E450)-1</f>
        <v>5.8292911241595302E-3</v>
      </c>
      <c r="F809">
        <f>(Prices!F451/Prices!F450)-1</f>
        <v>-9.1015249347439209E-3</v>
      </c>
      <c r="G809">
        <f t="shared" si="48"/>
        <v>-1.0435811623986878E-3</v>
      </c>
      <c r="H809" s="8">
        <f t="shared" si="51"/>
        <v>647283.66762067727</v>
      </c>
      <c r="I809" s="8">
        <f t="shared" si="49"/>
        <v>1067100.1647020529</v>
      </c>
      <c r="J809" s="13">
        <f t="shared" si="50"/>
        <v>-0.39341807917215854</v>
      </c>
    </row>
    <row r="810" spans="1:10" x14ac:dyDescent="0.25">
      <c r="A810" s="5">
        <v>45631</v>
      </c>
      <c r="B810">
        <f>(Prices!B450/Prices!B449)-1</f>
        <v>9.9743350443304291E-3</v>
      </c>
      <c r="C810">
        <f>(Prices!C450/Prices!C449)-1</f>
        <v>-1.1749616362428661E-2</v>
      </c>
      <c r="D810">
        <f>(Prices!D450/Prices!D449)-1</f>
        <v>-4.3302008476139298E-3</v>
      </c>
      <c r="E810">
        <f>(Prices!E450/Prices!E449)-1</f>
        <v>-8.4799392481963443E-3</v>
      </c>
      <c r="F810">
        <f>(Prices!F450/Prices!F449)-1</f>
        <v>5.49657596289721E-2</v>
      </c>
      <c r="G810">
        <f t="shared" si="48"/>
        <v>8.0760676430127187E-3</v>
      </c>
      <c r="H810" s="8">
        <f t="shared" si="51"/>
        <v>652511.17430459918</v>
      </c>
      <c r="I810" s="8">
        <f t="shared" si="49"/>
        <v>1067100.1647020529</v>
      </c>
      <c r="J810" s="13">
        <f t="shared" si="50"/>
        <v>-0.38851928254852436</v>
      </c>
    </row>
    <row r="811" spans="1:10" x14ac:dyDescent="0.25">
      <c r="A811" s="6">
        <v>45632</v>
      </c>
      <c r="B811">
        <f>(Prices!B449/Prices!B448)-1</f>
        <v>-1.1816243011124605E-2</v>
      </c>
      <c r="C811">
        <f>(Prices!C449/Prices!C448)-1</f>
        <v>-2.1483259056107595E-3</v>
      </c>
      <c r="D811">
        <f>(Prices!D449/Prices!D448)-1</f>
        <v>1.0708632088648917E-2</v>
      </c>
      <c r="E811">
        <f>(Prices!E449/Prices!E448)-1</f>
        <v>-7.5782950929492721E-3</v>
      </c>
      <c r="F811">
        <f>(Prices!F449/Prices!F448)-1</f>
        <v>5.3396946564885583E-2</v>
      </c>
      <c r="G811">
        <f t="shared" si="48"/>
        <v>8.5125429287699738E-3</v>
      </c>
      <c r="H811" s="8">
        <f t="shared" si="51"/>
        <v>658065.70368736924</v>
      </c>
      <c r="I811" s="8">
        <f t="shared" si="49"/>
        <v>1067100.1647020529</v>
      </c>
      <c r="J811" s="13">
        <f t="shared" si="50"/>
        <v>-0.38331402669110354</v>
      </c>
    </row>
    <row r="812" spans="1:10" x14ac:dyDescent="0.25">
      <c r="A812" s="5">
        <v>45635</v>
      </c>
      <c r="B812">
        <f>(Prices!B448/Prices!B447)-1</f>
        <v>-4.9326068253512378E-3</v>
      </c>
      <c r="C812">
        <f>(Prices!C448/Prices!C447)-1</f>
        <v>-5.4777707064277426E-3</v>
      </c>
      <c r="D812">
        <f>(Prices!D448/Prices!D447)-1</f>
        <v>5.901086549269241E-3</v>
      </c>
      <c r="E812">
        <f>(Prices!E448/Prices!E447)-1</f>
        <v>1.4570324115373179E-2</v>
      </c>
      <c r="F812">
        <f>(Prices!F448/Prices!F447)-1</f>
        <v>-2.3371975994334049E-2</v>
      </c>
      <c r="G812">
        <f t="shared" si="48"/>
        <v>-2.6621885722941216E-3</v>
      </c>
      <c r="H812" s="8">
        <f t="shared" si="51"/>
        <v>656313.80869119405</v>
      </c>
      <c r="I812" s="8">
        <f t="shared" si="49"/>
        <v>1067100.1647020529</v>
      </c>
      <c r="J812" s="13">
        <f t="shared" si="50"/>
        <v>-0.38495576104194057</v>
      </c>
    </row>
    <row r="813" spans="1:10" x14ac:dyDescent="0.25">
      <c r="A813" s="6">
        <v>45636</v>
      </c>
      <c r="B813">
        <f>(Prices!B447/Prices!B446)-1</f>
        <v>-5.2908903253843231E-2</v>
      </c>
      <c r="C813">
        <f>(Prices!C447/Prices!C446)-1</f>
        <v>6.0597745306532058E-3</v>
      </c>
      <c r="D813">
        <f>(Prices!D447/Prices!D446)-1</f>
        <v>2.0649521306550511E-3</v>
      </c>
      <c r="E813">
        <f>(Prices!E447/Prices!E446)-1</f>
        <v>3.8805970149253799E-3</v>
      </c>
      <c r="F813">
        <f>(Prices!F447/Prices!F446)-1</f>
        <v>-8.0789780185243076E-3</v>
      </c>
      <c r="G813">
        <f t="shared" si="48"/>
        <v>-9.7965115192267804E-3</v>
      </c>
      <c r="H813" s="8">
        <f t="shared" si="51"/>
        <v>649884.22290412313</v>
      </c>
      <c r="I813" s="8">
        <f t="shared" si="49"/>
        <v>1067100.1647020529</v>
      </c>
      <c r="J813" s="13">
        <f t="shared" si="50"/>
        <v>-0.39098104901372727</v>
      </c>
    </row>
    <row r="814" spans="1:10" x14ac:dyDescent="0.25">
      <c r="A814" s="5">
        <v>45637</v>
      </c>
      <c r="B814">
        <f>(Prices!B446/Prices!B445)-1</f>
        <v>-5.2352517244929397E-2</v>
      </c>
      <c r="C814">
        <f>(Prices!C446/Prices!C445)-1</f>
        <v>-1.2599065230644135E-2</v>
      </c>
      <c r="D814">
        <f>(Prices!D446/Prices!D445)-1</f>
        <v>6.7088727204007714E-3</v>
      </c>
      <c r="E814">
        <f>(Prices!E446/Prices!E445)-1</f>
        <v>-2.7217827677128437E-3</v>
      </c>
      <c r="F814">
        <f>(Prices!F446/Prices!F445)-1</f>
        <v>5.9340788468694283E-2</v>
      </c>
      <c r="G814">
        <f t="shared" si="48"/>
        <v>-3.2474081083826503E-4</v>
      </c>
      <c r="H814" s="8">
        <f t="shared" si="51"/>
        <v>649673.17897462624</v>
      </c>
      <c r="I814" s="8">
        <f t="shared" si="49"/>
        <v>1067100.1647020529</v>
      </c>
      <c r="J814" s="13">
        <f t="shared" si="50"/>
        <v>-0.39117882232168644</v>
      </c>
    </row>
    <row r="815" spans="1:10" x14ac:dyDescent="0.25">
      <c r="A815" s="6">
        <v>45638</v>
      </c>
      <c r="B815">
        <f>(Prices!B445/Prices!B444)-1</f>
        <v>1.7920771326765728E-2</v>
      </c>
      <c r="C815">
        <f>(Prices!C445/Prices!C444)-1</f>
        <v>-1.2628255722177961E-3</v>
      </c>
      <c r="D815">
        <f>(Prices!D445/Prices!D444)-1</f>
        <v>8.51144316247332E-4</v>
      </c>
      <c r="E815">
        <f>(Prices!E445/Prices!E444)-1</f>
        <v>8.2758029244027753E-3</v>
      </c>
      <c r="F815">
        <f>(Prices!F445/Prices!F444)-1</f>
        <v>3.4461102106969177E-2</v>
      </c>
      <c r="G815">
        <f t="shared" si="48"/>
        <v>1.2049199020433443E-2</v>
      </c>
      <c r="H815" s="8">
        <f t="shared" si="51"/>
        <v>657501.22040632914</v>
      </c>
      <c r="I815" s="8">
        <f t="shared" si="49"/>
        <v>1067100.1647020529</v>
      </c>
      <c r="J815" s="13">
        <f t="shared" si="50"/>
        <v>-0.3838430147839858</v>
      </c>
    </row>
    <row r="816" spans="1:10" x14ac:dyDescent="0.25">
      <c r="A816" s="5">
        <v>45639</v>
      </c>
      <c r="B816">
        <f>(Prices!B444/Prices!B443)-1</f>
        <v>1.1287160192888557E-2</v>
      </c>
      <c r="C816">
        <f>(Prices!C444/Prices!C443)-1</f>
        <v>5.0997280145059776E-3</v>
      </c>
      <c r="D816">
        <f>(Prices!D444/Prices!D443)-1</f>
        <v>8.8731991222210649E-3</v>
      </c>
      <c r="E816">
        <f>(Prices!E444/Prices!E443)-1</f>
        <v>6.6039364640884113E-3</v>
      </c>
      <c r="F816">
        <f>(Prices!F444/Prices!F443)-1</f>
        <v>-9.0741186862602907E-3</v>
      </c>
      <c r="G816">
        <f t="shared" si="48"/>
        <v>4.557981021488744E-3</v>
      </c>
      <c r="H816" s="8">
        <f t="shared" si="51"/>
        <v>660498.09849054681</v>
      </c>
      <c r="I816" s="8">
        <f t="shared" si="49"/>
        <v>1067100.1647020529</v>
      </c>
      <c r="J816" s="13">
        <f t="shared" si="50"/>
        <v>-0.38103458293911358</v>
      </c>
    </row>
    <row r="817" spans="1:10" x14ac:dyDescent="0.25">
      <c r="A817" s="6">
        <v>45642</v>
      </c>
      <c r="B817">
        <f>(Prices!B443/Prices!B442)-1</f>
        <v>-3.4780829625082998E-2</v>
      </c>
      <c r="C817">
        <f>(Prices!C443/Prices!C442)-1</f>
        <v>-9.5631482063485151E-3</v>
      </c>
      <c r="D817">
        <f>(Prices!D443/Prices!D442)-1</f>
        <v>2.1838744272204336E-2</v>
      </c>
      <c r="E817">
        <f>(Prices!E443/Prices!E442)-1</f>
        <v>1.5129901007218116E-3</v>
      </c>
      <c r="F817">
        <f>(Prices!F443/Prices!F442)-1</f>
        <v>4.4079733383638464E-2</v>
      </c>
      <c r="G817">
        <f t="shared" si="48"/>
        <v>4.6174979850266192E-3</v>
      </c>
      <c r="H817" s="8">
        <f t="shared" si="51"/>
        <v>663547.94712944084</v>
      </c>
      <c r="I817" s="8">
        <f t="shared" si="49"/>
        <v>1067100.1647020529</v>
      </c>
      <c r="J817" s="13">
        <f t="shared" si="50"/>
        <v>-0.37817651137303376</v>
      </c>
    </row>
    <row r="818" spans="1:10" x14ac:dyDescent="0.25">
      <c r="A818" s="5">
        <v>45643</v>
      </c>
      <c r="B818">
        <f>(Prices!B442/Prices!B441)-1</f>
        <v>6.3310685608399808E-3</v>
      </c>
      <c r="C818">
        <f>(Prices!C442/Prices!C441)-1</f>
        <v>-6.3128778246225314E-3</v>
      </c>
      <c r="D818">
        <f>(Prices!D442/Prices!D441)-1</f>
        <v>4.2099079694535302E-3</v>
      </c>
      <c r="E818">
        <f>(Prices!E442/Prices!E441)-1</f>
        <v>5.12709102759068E-3</v>
      </c>
      <c r="F818">
        <f>(Prices!F442/Prices!F441)-1</f>
        <v>2.6750742478371281E-2</v>
      </c>
      <c r="G818">
        <f t="shared" si="48"/>
        <v>7.2211864423265886E-3</v>
      </c>
      <c r="H818" s="8">
        <f t="shared" si="51"/>
        <v>668339.55056908564</v>
      </c>
      <c r="I818" s="8">
        <f t="shared" si="49"/>
        <v>1067100.1647020529</v>
      </c>
      <c r="J818" s="13">
        <f t="shared" si="50"/>
        <v>-0.37368620802744046</v>
      </c>
    </row>
    <row r="819" spans="1:10" x14ac:dyDescent="0.25">
      <c r="A819" s="6">
        <v>45644</v>
      </c>
      <c r="B819">
        <f>(Prices!B441/Prices!B440)-1</f>
        <v>3.7266417512012762E-2</v>
      </c>
      <c r="C819">
        <f>(Prices!C441/Prices!C440)-1</f>
        <v>3.9031173948313791E-2</v>
      </c>
      <c r="D819">
        <f>(Prices!D441/Prices!D440)-1</f>
        <v>1.50054655669285E-2</v>
      </c>
      <c r="E819">
        <f>(Prices!E441/Prices!E440)-1</f>
        <v>3.4661032188455287E-2</v>
      </c>
      <c r="F819">
        <f>(Prices!F441/Prices!F440)-1</f>
        <v>-2.8416100365917352E-2</v>
      </c>
      <c r="G819">
        <f t="shared" si="48"/>
        <v>1.9509597769958593E-2</v>
      </c>
      <c r="H819" s="8">
        <f t="shared" si="51"/>
        <v>681378.58637444337</v>
      </c>
      <c r="I819" s="8">
        <f t="shared" si="49"/>
        <v>1067100.1647020529</v>
      </c>
      <c r="J819" s="13">
        <f t="shared" si="50"/>
        <v>-0.36146707786827831</v>
      </c>
    </row>
    <row r="820" spans="1:10" x14ac:dyDescent="0.25">
      <c r="A820" s="5">
        <v>45645</v>
      </c>
      <c r="B820">
        <f>(Prices!B440/Prices!B439)-1</f>
        <v>-5.8694840189954522E-4</v>
      </c>
      <c r="C820">
        <f>(Prices!C440/Prices!C439)-1</f>
        <v>8.3509244009372097E-4</v>
      </c>
      <c r="D820">
        <f>(Prices!D440/Prices!D439)-1</f>
        <v>8.6198255988774175E-3</v>
      </c>
      <c r="E820">
        <f>(Prices!E440/Prices!E439)-1</f>
        <v>-1.1114074864408297E-2</v>
      </c>
      <c r="F820">
        <f>(Prices!F440/Prices!F439)-1</f>
        <v>2.1399739444290189E-2</v>
      </c>
      <c r="G820">
        <f t="shared" si="48"/>
        <v>3.8307268433906971E-3</v>
      </c>
      <c r="H820" s="8">
        <f t="shared" si="51"/>
        <v>683988.76161577948</v>
      </c>
      <c r="I820" s="8">
        <f t="shared" si="49"/>
        <v>1067100.1647020529</v>
      </c>
      <c r="J820" s="13">
        <f t="shared" si="50"/>
        <v>-0.35902103266307966</v>
      </c>
    </row>
    <row r="821" spans="1:10" x14ac:dyDescent="0.25">
      <c r="A821" s="6">
        <v>45646</v>
      </c>
      <c r="B821">
        <f>(Prices!B439/Prices!B438)-1</f>
        <v>-1.5134794261390527E-2</v>
      </c>
      <c r="C821">
        <f>(Prices!C439/Prices!C438)-1</f>
        <v>9.7522464996391278E-4</v>
      </c>
      <c r="D821">
        <f>(Prices!D439/Prices!D438)-1</f>
        <v>-3.3962641094795742E-3</v>
      </c>
      <c r="E821">
        <f>(Prices!E439/Prices!E438)-1</f>
        <v>-1.9527504140877006E-2</v>
      </c>
      <c r="F821">
        <f>(Prices!F439/Prices!F438)-1</f>
        <v>-2.1769560221456041E-2</v>
      </c>
      <c r="G821">
        <f t="shared" si="48"/>
        <v>-1.1770579616647847E-2</v>
      </c>
      <c r="H821" s="8">
        <f t="shared" si="51"/>
        <v>675937.81744028861</v>
      </c>
      <c r="I821" s="8">
        <f t="shared" si="49"/>
        <v>1067100.1647020529</v>
      </c>
      <c r="J821" s="13">
        <f t="shared" si="50"/>
        <v>-0.36656572663071563</v>
      </c>
    </row>
    <row r="822" spans="1:10" x14ac:dyDescent="0.25">
      <c r="A822" s="5">
        <v>45649</v>
      </c>
      <c r="B822">
        <f>(Prices!B438/Prices!B437)-1</f>
        <v>-1.6538322393922278E-2</v>
      </c>
      <c r="C822">
        <f>(Prices!C438/Prices!C437)-1</f>
        <v>3.0977779848140319E-3</v>
      </c>
      <c r="D822">
        <f>(Prices!D438/Prices!D437)-1</f>
        <v>-4.0787902904894091E-3</v>
      </c>
      <c r="E822">
        <f>(Prices!E438/Prices!E437)-1</f>
        <v>-3.3017638369972069E-3</v>
      </c>
      <c r="F822">
        <f>(Prices!F438/Prices!F437)-1</f>
        <v>-1.2257784931591686E-2</v>
      </c>
      <c r="G822">
        <f t="shared" si="48"/>
        <v>-6.6157766936373102E-3</v>
      </c>
      <c r="H822" s="8">
        <f t="shared" si="51"/>
        <v>671465.96378131909</v>
      </c>
      <c r="I822" s="8">
        <f t="shared" si="49"/>
        <v>1067100.1647020529</v>
      </c>
      <c r="J822" s="13">
        <f t="shared" si="50"/>
        <v>-0.37075638633342317</v>
      </c>
    </row>
    <row r="823" spans="1:10" x14ac:dyDescent="0.25">
      <c r="A823" s="6">
        <v>45650</v>
      </c>
      <c r="B823">
        <f>(Prices!B437/Prices!B436)-1</f>
        <v>-7.5909114222700858E-3</v>
      </c>
      <c r="C823">
        <f>(Prices!C437/Prices!C436)-1</f>
        <v>-9.2763522244785346E-3</v>
      </c>
      <c r="D823">
        <f>(Prices!D437/Prices!D436)-1</f>
        <v>-8.9454328595572896E-4</v>
      </c>
      <c r="E823">
        <f>(Prices!E437/Prices!E436)-1</f>
        <v>-1.6156607967173886E-2</v>
      </c>
      <c r="F823">
        <f>(Prices!F437/Prices!F436)-1</f>
        <v>4.7485341481534604E-4</v>
      </c>
      <c r="G823">
        <f t="shared" si="48"/>
        <v>-6.6887122970125789E-3</v>
      </c>
      <c r="H823" s="8">
        <f t="shared" si="51"/>
        <v>666974.72113234957</v>
      </c>
      <c r="I823" s="8">
        <f t="shared" si="49"/>
        <v>1067100.1647020529</v>
      </c>
      <c r="J823" s="13">
        <f t="shared" si="50"/>
        <v>-0.37496521582997144</v>
      </c>
    </row>
    <row r="824" spans="1:10" x14ac:dyDescent="0.25">
      <c r="A824" s="5">
        <v>45652</v>
      </c>
      <c r="B824">
        <f>(Prices!B436/Prices!B435)-1</f>
        <v>2.6226473310706488E-3</v>
      </c>
      <c r="C824">
        <f>(Prices!C436/Prices!C435)-1</f>
        <v>2.7767493520918229E-3</v>
      </c>
      <c r="D824">
        <f>(Prices!D436/Prices!D435)-1</f>
        <v>-8.9374379344586696E-4</v>
      </c>
      <c r="E824">
        <f>(Prices!E436/Prices!E435)-1</f>
        <v>-3.4501852877284467E-3</v>
      </c>
      <c r="F824">
        <f>(Prices!F436/Prices!F435)-1</f>
        <v>-9.8734642981254117E-3</v>
      </c>
      <c r="G824">
        <f t="shared" si="48"/>
        <v>-1.7635993392274511E-3</v>
      </c>
      <c r="H824" s="8">
        <f t="shared" si="51"/>
        <v>665798.44495487912</v>
      </c>
      <c r="I824" s="8">
        <f t="shared" si="49"/>
        <v>1067100.1647020529</v>
      </c>
      <c r="J824" s="13">
        <f t="shared" si="50"/>
        <v>-0.37606752676232791</v>
      </c>
    </row>
    <row r="825" spans="1:10" x14ac:dyDescent="0.25">
      <c r="A825" s="6">
        <v>45653</v>
      </c>
      <c r="B825">
        <f>(Prices!B435/Prices!B434)-1</f>
        <v>1.4715090795241137E-2</v>
      </c>
      <c r="C825">
        <f>(Prices!C435/Prices!C434)-1</f>
        <v>1.7613261750023534E-2</v>
      </c>
      <c r="D825">
        <f>(Prices!D435/Prices!D434)-1</f>
        <v>9.9314728374322314E-5</v>
      </c>
      <c r="E825">
        <f>(Prices!E435/Prices!E434)-1</f>
        <v>8.2023533453576825E-3</v>
      </c>
      <c r="F825">
        <f>(Prices!F435/Prices!F434)-1</f>
        <v>2.2742173414194156E-3</v>
      </c>
      <c r="G825">
        <f t="shared" si="48"/>
        <v>8.5808475920832201E-3</v>
      </c>
      <c r="H825" s="8">
        <f t="shared" si="51"/>
        <v>671511.55993808294</v>
      </c>
      <c r="I825" s="8">
        <f t="shared" si="49"/>
        <v>1067100.1647020529</v>
      </c>
      <c r="J825" s="13">
        <f t="shared" si="50"/>
        <v>-0.3707136573017239</v>
      </c>
    </row>
    <row r="826" spans="1:10" x14ac:dyDescent="0.25">
      <c r="A826" s="5">
        <v>45656</v>
      </c>
      <c r="B826">
        <f>(Prices!B434/Prices!B433)-1</f>
        <v>7.9949505575425128E-3</v>
      </c>
      <c r="C826">
        <f>(Prices!C434/Prices!C433)-1</f>
        <v>1.3410967403235885E-2</v>
      </c>
      <c r="D826">
        <f>(Prices!D434/Prices!D433)-1</f>
        <v>6.7993200679932198E-3</v>
      </c>
      <c r="E826">
        <f>(Prices!E434/Prices!E433)-1</f>
        <v>7.7029600138480703E-3</v>
      </c>
      <c r="F826">
        <f>(Prices!F434/Prices!F433)-1</f>
        <v>4.3005000102882551E-3</v>
      </c>
      <c r="G826">
        <f t="shared" si="48"/>
        <v>8.0417396105815879E-3</v>
      </c>
      <c r="H826" s="8">
        <f t="shared" si="51"/>
        <v>676911.68104860047</v>
      </c>
      <c r="I826" s="8">
        <f t="shared" si="49"/>
        <v>1067100.1647020529</v>
      </c>
      <c r="J826" s="13">
        <f t="shared" si="50"/>
        <v>-0.36565310039324916</v>
      </c>
    </row>
    <row r="827" spans="1:10" x14ac:dyDescent="0.25">
      <c r="A827" s="6">
        <v>45657</v>
      </c>
      <c r="B827">
        <f>(Prices!B433/Prices!B432)-1</f>
        <v>1.0201912858661011E-2</v>
      </c>
      <c r="C827">
        <f>(Prices!C433/Prices!C432)-1</f>
        <v>7.888787339458414E-3</v>
      </c>
      <c r="D827">
        <f>(Prices!D433/Prices!D432)-1</f>
        <v>-1.681085332284693E-2</v>
      </c>
      <c r="E827">
        <f>(Prices!E433/Prices!E432)-1</f>
        <v>-1.5986174119678731E-3</v>
      </c>
      <c r="F827">
        <f>(Prices!F433/Prices!F432)-1</f>
        <v>3.8419432796976682E-3</v>
      </c>
      <c r="G827">
        <f t="shared" si="48"/>
        <v>7.046345486004578E-4</v>
      </c>
      <c r="H827" s="8">
        <f t="shared" si="51"/>
        <v>677388.65640541841</v>
      </c>
      <c r="I827" s="8">
        <f t="shared" si="49"/>
        <v>1067100.1647020529</v>
      </c>
      <c r="J827" s="13">
        <f t="shared" si="50"/>
        <v>-0.36520611765198874</v>
      </c>
    </row>
    <row r="828" spans="1:10" x14ac:dyDescent="0.25">
      <c r="A828" s="5">
        <v>45659</v>
      </c>
      <c r="B828">
        <f>(Prices!B432/Prices!B431)-1</f>
        <v>-6.3721325403576223E-4</v>
      </c>
      <c r="C828">
        <f>(Prices!C432/Prices!C431)-1</f>
        <v>6.975054492613264E-3</v>
      </c>
      <c r="D828">
        <f>(Prices!D432/Prices!D431)-1</f>
        <v>2.3649980291682304E-3</v>
      </c>
      <c r="E828">
        <f>(Prices!E432/Prices!E431)-1</f>
        <v>-1.2083027661502488E-3</v>
      </c>
      <c r="F828">
        <f>(Prices!F432/Prices!F431)-1</f>
        <v>2.6716924861238667E-3</v>
      </c>
      <c r="G828">
        <f t="shared" si="48"/>
        <v>2.0332457975438699E-3</v>
      </c>
      <c r="H828" s="8">
        <f t="shared" si="51"/>
        <v>678765.95404435857</v>
      </c>
      <c r="I828" s="8">
        <f t="shared" si="49"/>
        <v>1067100.1647020529</v>
      </c>
      <c r="J828" s="13">
        <f t="shared" si="50"/>
        <v>-0.36391542565839813</v>
      </c>
    </row>
    <row r="829" spans="1:10" x14ac:dyDescent="0.25">
      <c r="A829" s="6">
        <v>45660</v>
      </c>
      <c r="B829">
        <f>(Prices!B431/Prices!B430)-1</f>
        <v>-1.2324959353857468E-2</v>
      </c>
      <c r="C829">
        <f>(Prices!C431/Prices!C430)-1</f>
        <v>-1.1254789272030719E-2</v>
      </c>
      <c r="D829">
        <f>(Prices!D431/Prices!D430)-1</f>
        <v>-5.0980392156861898E-3</v>
      </c>
      <c r="E829">
        <f>(Prices!E431/Prices!E430)-1</f>
        <v>-1.3495104299702021E-2</v>
      </c>
      <c r="F829">
        <f>(Prices!F431/Prices!F430)-1</f>
        <v>-1.6539025582532174E-2</v>
      </c>
      <c r="G829">
        <f t="shared" si="48"/>
        <v>-1.1742383544761715E-2</v>
      </c>
      <c r="H829" s="8">
        <f t="shared" si="51"/>
        <v>670795.62387484359</v>
      </c>
      <c r="I829" s="8">
        <f t="shared" si="49"/>
        <v>1067100.1647020529</v>
      </c>
      <c r="J829" s="13">
        <f t="shared" si="50"/>
        <v>-0.37138457469722375</v>
      </c>
    </row>
    <row r="830" spans="1:10" x14ac:dyDescent="0.25">
      <c r="A830" s="5">
        <v>45663</v>
      </c>
      <c r="B830">
        <f>(Prices!B430/Prices!B429)-1</f>
        <v>-2.5802166360106349E-2</v>
      </c>
      <c r="C830">
        <f>(Prices!C430/Prices!C429)-1</f>
        <v>-1.0520329826556707E-2</v>
      </c>
      <c r="D830">
        <f>(Prices!D430/Prices!D429)-1</f>
        <v>1.1778563015312216E-3</v>
      </c>
      <c r="E830">
        <f>(Prices!E430/Prices!E429)-1</f>
        <v>4.8767967145790792E-3</v>
      </c>
      <c r="F830">
        <f>(Prices!F430/Prices!F429)-1</f>
        <v>-1.3018714401953346E-3</v>
      </c>
      <c r="G830">
        <f t="shared" si="48"/>
        <v>-6.3139429221496183E-3</v>
      </c>
      <c r="H830" s="8">
        <f t="shared" si="51"/>
        <v>666560.25859327009</v>
      </c>
      <c r="I830" s="8">
        <f t="shared" si="49"/>
        <v>1067100.1647020529</v>
      </c>
      <c r="J830" s="13">
        <f t="shared" si="50"/>
        <v>-0.37535361661256827</v>
      </c>
    </row>
    <row r="831" spans="1:10" x14ac:dyDescent="0.25">
      <c r="A831" s="6">
        <v>45664</v>
      </c>
      <c r="B831">
        <f>(Prices!B429/Prices!B428)-1</f>
        <v>7.0491381528170471E-3</v>
      </c>
      <c r="C831">
        <f>(Prices!C429/Prices!C428)-1</f>
        <v>1.2985142692556906E-2</v>
      </c>
      <c r="D831">
        <f>(Prices!D429/Prices!D428)-1</f>
        <v>-9.334889148191472E-3</v>
      </c>
      <c r="E831">
        <f>(Prices!E429/Prices!E428)-1</f>
        <v>-9.5334943434600694E-3</v>
      </c>
      <c r="F831">
        <f>(Prices!F429/Prices!F428)-1</f>
        <v>-1.1378413524056885E-3</v>
      </c>
      <c r="G831">
        <f t="shared" si="48"/>
        <v>5.6112002633441134E-6</v>
      </c>
      <c r="H831" s="8">
        <f t="shared" si="51"/>
        <v>666563.9987963686</v>
      </c>
      <c r="I831" s="8">
        <f t="shared" si="49"/>
        <v>1067100.1647020529</v>
      </c>
      <c r="J831" s="13">
        <f t="shared" si="50"/>
        <v>-0.37535011159661735</v>
      </c>
    </row>
    <row r="832" spans="1:10" x14ac:dyDescent="0.25">
      <c r="A832" s="5">
        <v>45665</v>
      </c>
      <c r="B832">
        <f>(Prices!B428/Prices!B427)-1</f>
        <v>7.934861528887005E-3</v>
      </c>
      <c r="C832">
        <f>(Prices!C428/Prices!C427)-1</f>
        <v>-5.1577162778481123E-3</v>
      </c>
      <c r="D832">
        <f>(Prices!D428/Prices!D427)-1</f>
        <v>1.7009493670886E-2</v>
      </c>
      <c r="E832">
        <f>(Prices!E428/Prices!E427)-1</f>
        <v>1.6951307369583724E-4</v>
      </c>
      <c r="F832">
        <f>(Prices!F428/Prices!F427)-1</f>
        <v>-1.9582063387716842E-2</v>
      </c>
      <c r="G832">
        <f t="shared" si="48"/>
        <v>7.481772158077736E-5</v>
      </c>
      <c r="H832" s="8">
        <f t="shared" si="51"/>
        <v>666613.86959604628</v>
      </c>
      <c r="I832" s="8">
        <f t="shared" si="49"/>
        <v>1067100.1647020529</v>
      </c>
      <c r="J832" s="13">
        <f t="shared" si="50"/>
        <v>-0.37530337671518138</v>
      </c>
    </row>
    <row r="833" spans="1:10" x14ac:dyDescent="0.25">
      <c r="A833" s="6">
        <v>45667</v>
      </c>
      <c r="B833">
        <f>(Prices!B427/Prices!B426)-1</f>
        <v>9.9518122773936124E-3</v>
      </c>
      <c r="C833">
        <f>(Prices!C427/Prices!C426)-1</f>
        <v>1.3381406378551119E-2</v>
      </c>
      <c r="D833">
        <f>(Prices!D427/Prices!D426)-1</f>
        <v>3.6724565756824923E-3</v>
      </c>
      <c r="E833">
        <f>(Prices!E427/Prices!E426)-1</f>
        <v>1.361683848797246E-2</v>
      </c>
      <c r="F833">
        <f>(Prices!F427/Prices!F426)-1</f>
        <v>7.3647455450314148E-3</v>
      </c>
      <c r="G833">
        <f t="shared" si="48"/>
        <v>9.5974518529262209E-3</v>
      </c>
      <c r="H833" s="8">
        <f t="shared" si="51"/>
        <v>673011.66411398724</v>
      </c>
      <c r="I833" s="8">
        <f t="shared" si="49"/>
        <v>1067100.1647020529</v>
      </c>
      <c r="J833" s="13">
        <f t="shared" si="50"/>
        <v>-0.3693078809505197</v>
      </c>
    </row>
    <row r="834" spans="1:10" x14ac:dyDescent="0.25">
      <c r="A834" s="5">
        <v>45670</v>
      </c>
      <c r="B834">
        <f>(Prices!B426/Prices!B425)-1</f>
        <v>5.3712480252763317E-3</v>
      </c>
      <c r="C834">
        <f>(Prices!C426/Prices!C425)-1</f>
        <v>4.228227060653289E-3</v>
      </c>
      <c r="D834">
        <f>(Prices!D426/Prices!D425)-1</f>
        <v>-2.515723270440251E-2</v>
      </c>
      <c r="E834">
        <f>(Prices!E426/Prices!E425)-1</f>
        <v>-1.7804404691587172E-2</v>
      </c>
      <c r="F834">
        <f>(Prices!F426/Prices!F425)-1</f>
        <v>-3.7787947247485021E-2</v>
      </c>
      <c r="G834">
        <f t="shared" ref="G834:G897" si="52">B834*20%+C834*20%+D834*20%+E834*20%+F834*20%</f>
        <v>-1.4230021911509017E-2</v>
      </c>
      <c r="H834" s="8">
        <f t="shared" si="51"/>
        <v>663434.69338694401</v>
      </c>
      <c r="I834" s="8">
        <f t="shared" ref="I834:I897" si="53">MAX(I833,H834)</f>
        <v>1067100.1647020529</v>
      </c>
      <c r="J834" s="13">
        <f t="shared" ref="J834:J897" si="54">(H834-I834)/I834</f>
        <v>-0.37828264362400987</v>
      </c>
    </row>
    <row r="835" spans="1:10" x14ac:dyDescent="0.25">
      <c r="A835" s="6">
        <v>45671</v>
      </c>
      <c r="B835">
        <f>(Prices!B425/Prices!B424)-1</f>
        <v>7.1599045346062429E-3</v>
      </c>
      <c r="C835">
        <f>(Prices!C425/Prices!C424)-1</f>
        <v>3.6583581288718303E-3</v>
      </c>
      <c r="D835">
        <f>(Prices!D425/Prices!D424)-1</f>
        <v>-3.8554216867470181E-3</v>
      </c>
      <c r="E835">
        <f>(Prices!E425/Prices!E424)-1</f>
        <v>-1.3156799067366109E-2</v>
      </c>
      <c r="F835">
        <f>(Prices!F425/Prices!F424)-1</f>
        <v>-4.78496483339097E-3</v>
      </c>
      <c r="G835">
        <f t="shared" si="52"/>
        <v>-2.1957845848052052E-3</v>
      </c>
      <c r="H835" s="8">
        <f t="shared" si="51"/>
        <v>661977.93371418002</v>
      </c>
      <c r="I835" s="8">
        <f t="shared" si="53"/>
        <v>1067100.1647020529</v>
      </c>
      <c r="J835" s="13">
        <f t="shared" si="54"/>
        <v>-0.37964780101124607</v>
      </c>
    </row>
    <row r="836" spans="1:10" x14ac:dyDescent="0.25">
      <c r="A836" s="5">
        <v>45672</v>
      </c>
      <c r="B836">
        <f>(Prices!B424/Prices!B423)-1</f>
        <v>-3.0142482382593427E-2</v>
      </c>
      <c r="C836">
        <f>(Prices!C424/Prices!C423)-1</f>
        <v>-2.4969085893655429E-2</v>
      </c>
      <c r="D836">
        <f>(Prices!D424/Prices!D423)-1</f>
        <v>-1.6121384542437167E-2</v>
      </c>
      <c r="E836">
        <f>(Prices!E424/Prices!E423)-1</f>
        <v>-1.9353258206761259E-2</v>
      </c>
      <c r="F836">
        <f>(Prices!F424/Prices!F423)-1</f>
        <v>5.7683433317934352E-4</v>
      </c>
      <c r="G836">
        <f t="shared" si="52"/>
        <v>-1.8001875338453589E-2</v>
      </c>
      <c r="H836" s="8">
        <f t="shared" ref="H836:H899" si="55">H835*(1+G836)</f>
        <v>650061.08947465033</v>
      </c>
      <c r="I836" s="8">
        <f t="shared" si="53"/>
        <v>1067100.1647020529</v>
      </c>
      <c r="J836" s="13">
        <f t="shared" si="54"/>
        <v>-0.3908153039633771</v>
      </c>
    </row>
    <row r="837" spans="1:10" x14ac:dyDescent="0.25">
      <c r="A837" s="6">
        <v>45673</v>
      </c>
      <c r="B837">
        <f>(Prices!B423/Prices!B422)-1</f>
        <v>1.3713630201272364E-2</v>
      </c>
      <c r="C837">
        <f>(Prices!C423/Prices!C422)-1</f>
        <v>4.0829970631073298E-3</v>
      </c>
      <c r="D837">
        <f>(Prices!D423/Prices!D422)-1</f>
        <v>1.7098888572244508E-3</v>
      </c>
      <c r="E837">
        <f>(Prices!E423/Prices!E422)-1</f>
        <v>-7.5370775589594929E-3</v>
      </c>
      <c r="F837">
        <f>(Prices!F423/Prices!F422)-1</f>
        <v>6.429828510620883E-2</v>
      </c>
      <c r="G837">
        <f t="shared" si="52"/>
        <v>1.5253544733770698E-2</v>
      </c>
      <c r="H837" s="8">
        <f t="shared" si="55"/>
        <v>659976.8253826357</v>
      </c>
      <c r="I837" s="8">
        <f t="shared" si="53"/>
        <v>1067100.1647020529</v>
      </c>
      <c r="J837" s="13">
        <f t="shared" si="54"/>
        <v>-0.38152307795125395</v>
      </c>
    </row>
    <row r="838" spans="1:10" x14ac:dyDescent="0.25">
      <c r="A838" s="5">
        <v>45674</v>
      </c>
      <c r="B838">
        <f>(Prices!B422/Prices!B421)-1</f>
        <v>-1.580621985014885E-2</v>
      </c>
      <c r="C838">
        <f>(Prices!C422/Prices!C421)-1</f>
        <v>-1.0373345935727807E-2</v>
      </c>
      <c r="D838">
        <f>(Prices!D422/Prices!D421)-1</f>
        <v>-8.850390735335667E-3</v>
      </c>
      <c r="E838">
        <f>(Prices!E422/Prices!E421)-1</f>
        <v>-1.8884427304894036E-2</v>
      </c>
      <c r="F838">
        <f>(Prices!F422/Prices!F421)-1</f>
        <v>1.6398147009388797E-3</v>
      </c>
      <c r="G838">
        <f t="shared" si="52"/>
        <v>-1.0454913825033496E-2</v>
      </c>
      <c r="H838" s="8">
        <f t="shared" si="55"/>
        <v>653076.82454674109</v>
      </c>
      <c r="I838" s="8">
        <f t="shared" si="53"/>
        <v>1067100.1647020529</v>
      </c>
      <c r="J838" s="13">
        <f t="shared" si="54"/>
        <v>-0.38798920087404548</v>
      </c>
    </row>
    <row r="839" spans="1:10" x14ac:dyDescent="0.25">
      <c r="A839" s="6">
        <v>45678</v>
      </c>
      <c r="B839">
        <f>(Prices!B421/Prices!B420)-1</f>
        <v>-1.0310325562496669E-2</v>
      </c>
      <c r="C839">
        <f>(Prices!C421/Prices!C420)-1</f>
        <v>1.2302451026779959E-3</v>
      </c>
      <c r="D839">
        <f>(Prices!D421/Prices!D420)-1</f>
        <v>7.5894127691868984E-3</v>
      </c>
      <c r="E839">
        <f>(Prices!E421/Prices!E420)-1</f>
        <v>-1.4689752428705738E-2</v>
      </c>
      <c r="F839">
        <f>(Prices!F421/Prices!F420)-1</f>
        <v>-2.9018390255552862E-2</v>
      </c>
      <c r="G839">
        <f t="shared" si="52"/>
        <v>-9.0397620749780756E-3</v>
      </c>
      <c r="H839" s="8">
        <f t="shared" si="55"/>
        <v>647173.16543615633</v>
      </c>
      <c r="I839" s="8">
        <f t="shared" si="53"/>
        <v>1067100.1647020529</v>
      </c>
      <c r="J839" s="13">
        <f t="shared" si="54"/>
        <v>-0.39352163288546133</v>
      </c>
    </row>
    <row r="840" spans="1:10" x14ac:dyDescent="0.25">
      <c r="A840" s="5">
        <v>45679</v>
      </c>
      <c r="B840">
        <f>(Prices!B420/Prices!B419)-1</f>
        <v>-1.6226357689773652E-3</v>
      </c>
      <c r="C840">
        <f>(Prices!C420/Prices!C419)-1</f>
        <v>-3.9669196164856646E-2</v>
      </c>
      <c r="D840">
        <f>(Prices!D420/Prices!D419)-1</f>
        <v>1.7765762286376496E-2</v>
      </c>
      <c r="E840">
        <f>(Prices!E420/Prices!E419)-1</f>
        <v>7.0560564484511978E-4</v>
      </c>
      <c r="F840">
        <f>(Prices!F420/Prices!F419)-1</f>
        <v>1.0152998652968481E-2</v>
      </c>
      <c r="G840">
        <f t="shared" si="52"/>
        <v>-2.5334930699287823E-3</v>
      </c>
      <c r="H840" s="8">
        <f t="shared" si="55"/>
        <v>645533.55670647998</v>
      </c>
      <c r="I840" s="8">
        <f t="shared" si="53"/>
        <v>1067100.1647020529</v>
      </c>
      <c r="J840" s="13">
        <f t="shared" si="54"/>
        <v>-0.39505814162560771</v>
      </c>
    </row>
    <row r="841" spans="1:10" x14ac:dyDescent="0.25">
      <c r="A841" s="6">
        <v>45680</v>
      </c>
      <c r="B841">
        <f>(Prices!B419/Prices!B418)-1</f>
        <v>1.9815059445178473E-3</v>
      </c>
      <c r="C841">
        <f>(Prices!C419/Prices!C418)-1</f>
        <v>-1.1347131445170744E-3</v>
      </c>
      <c r="D841">
        <f>(Prices!D419/Prices!D418)-1</f>
        <v>-5.6643625192012159E-3</v>
      </c>
      <c r="E841">
        <f>(Prices!E419/Prices!E418)-1</f>
        <v>-1.1699984503331873E-2</v>
      </c>
      <c r="F841">
        <f>(Prices!F419/Prices!F418)-1</f>
        <v>-1.8973984734028893E-2</v>
      </c>
      <c r="G841">
        <f t="shared" si="52"/>
        <v>-7.0983077913122422E-3</v>
      </c>
      <c r="H841" s="8">
        <f t="shared" si="55"/>
        <v>640951.36083135684</v>
      </c>
      <c r="I841" s="8">
        <f t="shared" si="53"/>
        <v>1067100.1647020529</v>
      </c>
      <c r="J841" s="13">
        <f t="shared" si="54"/>
        <v>-0.3993522051321976</v>
      </c>
    </row>
    <row r="842" spans="1:10" x14ac:dyDescent="0.25">
      <c r="A842" s="5">
        <v>45681</v>
      </c>
      <c r="B842">
        <f>(Prices!B418/Prices!B417)-1</f>
        <v>-1.1153536977491996E-2</v>
      </c>
      <c r="C842">
        <f>(Prices!C418/Prices!C417)-1</f>
        <v>5.958495993425128E-3</v>
      </c>
      <c r="D842">
        <f>(Prices!D418/Prices!D417)-1</f>
        <v>1.3722627737226212E-2</v>
      </c>
      <c r="E842">
        <f>(Prices!E418/Prices!E417)-1</f>
        <v>4.2016806722688926E-3</v>
      </c>
      <c r="F842">
        <f>(Prices!F418/Prices!F417)-1</f>
        <v>-5.1605054548308216E-3</v>
      </c>
      <c r="G842">
        <f t="shared" si="52"/>
        <v>1.5137523941194833E-3</v>
      </c>
      <c r="H842" s="8">
        <f t="shared" si="55"/>
        <v>641921.60248832952</v>
      </c>
      <c r="I842" s="8">
        <f t="shared" si="53"/>
        <v>1067100.1647020529</v>
      </c>
      <c r="J842" s="13">
        <f t="shared" si="54"/>
        <v>-0.39844297309469384</v>
      </c>
    </row>
    <row r="843" spans="1:10" x14ac:dyDescent="0.25">
      <c r="A843" s="6">
        <v>45684</v>
      </c>
      <c r="B843">
        <f>(Prices!B417/Prices!B416)-1</f>
        <v>4.3788347579841513E-2</v>
      </c>
      <c r="C843">
        <f>(Prices!C417/Prices!C416)-1</f>
        <v>2.1858815844725266E-2</v>
      </c>
      <c r="D843">
        <f>(Prices!D417/Prices!D416)-1</f>
        <v>-1.3726243040890873E-2</v>
      </c>
      <c r="E843">
        <f>(Prices!E417/Prices!E416)-1</f>
        <v>-3.7981551817687365E-3</v>
      </c>
      <c r="F843">
        <f>(Prices!F417/Prices!F416)-1</f>
        <v>-2.0243381971278618E-2</v>
      </c>
      <c r="G843">
        <f t="shared" si="52"/>
        <v>5.5758766461257115E-3</v>
      </c>
      <c r="H843" s="8">
        <f t="shared" si="55"/>
        <v>645500.87816028786</v>
      </c>
      <c r="I843" s="8">
        <f t="shared" si="53"/>
        <v>1067100.1647020529</v>
      </c>
      <c r="J843" s="13">
        <f t="shared" si="54"/>
        <v>-0.39508876531705966</v>
      </c>
    </row>
    <row r="844" spans="1:10" x14ac:dyDescent="0.25">
      <c r="A844" s="5">
        <v>45685</v>
      </c>
      <c r="B844">
        <f>(Prices!B416/Prices!B415)-1</f>
        <v>-1.7871858261227835E-2</v>
      </c>
      <c r="C844">
        <f>(Prices!C416/Prices!C415)-1</f>
        <v>-2.826831092875115E-2</v>
      </c>
      <c r="D844">
        <f>(Prices!D416/Prices!D415)-1</f>
        <v>1.9673093863169289E-2</v>
      </c>
      <c r="E844">
        <f>(Prices!E416/Prices!E415)-1</f>
        <v>-4.8212288348054022E-3</v>
      </c>
      <c r="F844">
        <f>(Prices!F416/Prices!F415)-1</f>
        <v>1.9068531145267631E-3</v>
      </c>
      <c r="G844">
        <f t="shared" si="52"/>
        <v>-5.8762902094176674E-3</v>
      </c>
      <c r="H844" s="8">
        <f t="shared" si="55"/>
        <v>641707.72766978398</v>
      </c>
      <c r="I844" s="8">
        <f t="shared" si="53"/>
        <v>1067100.1647020529</v>
      </c>
      <c r="J844" s="13">
        <f t="shared" si="54"/>
        <v>-0.3986433992829938</v>
      </c>
    </row>
    <row r="845" spans="1:10" x14ac:dyDescent="0.25">
      <c r="A845" s="6">
        <v>45686</v>
      </c>
      <c r="B845">
        <f>(Prices!B415/Prices!B414)-1</f>
        <v>-5.6622226797764519E-4</v>
      </c>
      <c r="C845">
        <f>(Prices!C415/Prices!C414)-1</f>
        <v>1.1024019068573532E-2</v>
      </c>
      <c r="D845">
        <f>(Prices!D415/Prices!D414)-1</f>
        <v>-5.7415336706889697E-3</v>
      </c>
      <c r="E845">
        <f>(Prices!E415/Prices!E414)-1</f>
        <v>2.0871178448573779E-3</v>
      </c>
      <c r="F845">
        <f>(Prices!F415/Prices!F414)-1</f>
        <v>8.1360803122390024E-3</v>
      </c>
      <c r="G845">
        <f t="shared" si="52"/>
        <v>2.9878922574006596E-3</v>
      </c>
      <c r="H845" s="8">
        <f t="shared" si="55"/>
        <v>643625.08122080273</v>
      </c>
      <c r="I845" s="8">
        <f t="shared" si="53"/>
        <v>1067100.1647020529</v>
      </c>
      <c r="J845" s="13">
        <f t="shared" si="54"/>
        <v>-0.39684661055177467</v>
      </c>
    </row>
    <row r="846" spans="1:10" x14ac:dyDescent="0.25">
      <c r="A846" s="5">
        <v>45687</v>
      </c>
      <c r="B846">
        <f>(Prices!B414/Prices!B413)-1</f>
        <v>-2.7190786179268844E-2</v>
      </c>
      <c r="C846">
        <f>(Prices!C414/Prices!C413)-1</f>
        <v>6.5884939538292331E-2</v>
      </c>
      <c r="D846">
        <f>(Prices!D414/Prices!D413)-1</f>
        <v>-8.203841328057071E-3</v>
      </c>
      <c r="E846">
        <f>(Prices!E414/Prices!E413)-1</f>
        <v>-6.146045403910283E-3</v>
      </c>
      <c r="F846">
        <f>(Prices!F414/Prices!F413)-1</f>
        <v>-1.3674755329132537E-2</v>
      </c>
      <c r="G846">
        <f t="shared" si="52"/>
        <v>2.1339022595847192E-3</v>
      </c>
      <c r="H846" s="8">
        <f t="shared" si="55"/>
        <v>644998.51423594519</v>
      </c>
      <c r="I846" s="8">
        <f t="shared" si="53"/>
        <v>1067100.1647020529</v>
      </c>
      <c r="J846" s="13">
        <f t="shared" si="54"/>
        <v>-0.39555954017115491</v>
      </c>
    </row>
    <row r="847" spans="1:10" x14ac:dyDescent="0.25">
      <c r="A847" s="6">
        <v>45688</v>
      </c>
      <c r="B847">
        <f>(Prices!B413/Prices!B412)-1</f>
        <v>-1.5431642261992895E-2</v>
      </c>
      <c r="C847">
        <f>(Prices!C413/Prices!C412)-1</f>
        <v>-1.7097357237061406E-4</v>
      </c>
      <c r="D847">
        <f>(Prices!D413/Prices!D412)-1</f>
        <v>2.5638487428232049E-2</v>
      </c>
      <c r="E847">
        <f>(Prices!E413/Prices!E412)-1</f>
        <v>3.4691438923792894E-3</v>
      </c>
      <c r="F847">
        <f>(Prices!F413/Prices!F412)-1</f>
        <v>5.6626668464336838E-3</v>
      </c>
      <c r="G847">
        <f t="shared" si="52"/>
        <v>3.8335364665363029E-3</v>
      </c>
      <c r="H847" s="8">
        <f t="shared" si="55"/>
        <v>647471.13956113043</v>
      </c>
      <c r="I847" s="8">
        <f t="shared" si="53"/>
        <v>1067100.1647020529</v>
      </c>
      <c r="J847" s="13">
        <f t="shared" si="54"/>
        <v>-0.39324239562655106</v>
      </c>
    </row>
    <row r="848" spans="1:10" x14ac:dyDescent="0.25">
      <c r="A848" s="5">
        <v>45691</v>
      </c>
      <c r="B848">
        <f>(Prices!B412/Prices!B411)-1</f>
        <v>1.384584624612617E-2</v>
      </c>
      <c r="C848">
        <f>(Prices!C412/Prices!C411)-1</f>
        <v>1.006562392065935E-2</v>
      </c>
      <c r="D848">
        <f>(Prices!D412/Prices!D411)-1</f>
        <v>-2.4686481682630879E-3</v>
      </c>
      <c r="E848">
        <f>(Prices!E412/Prices!E411)-1</f>
        <v>1.8536396987836046E-3</v>
      </c>
      <c r="F848">
        <f>(Prices!F412/Prices!F411)-1</f>
        <v>-1.0369212587919008E-2</v>
      </c>
      <c r="G848">
        <f t="shared" si="52"/>
        <v>2.5854498218774065E-3</v>
      </c>
      <c r="H848" s="8">
        <f t="shared" si="55"/>
        <v>649145.14370357944</v>
      </c>
      <c r="I848" s="8">
        <f t="shared" si="53"/>
        <v>1067100.1647020529</v>
      </c>
      <c r="J848" s="13">
        <f t="shared" si="54"/>
        <v>-0.39167365428640105</v>
      </c>
    </row>
    <row r="849" spans="1:10" x14ac:dyDescent="0.25">
      <c r="A849" s="6">
        <v>45692</v>
      </c>
      <c r="B849">
        <f>(Prices!B411/Prices!B410)-1</f>
        <v>-2.4953699190954359E-2</v>
      </c>
      <c r="C849">
        <f>(Prices!C411/Prices!C410)-1</f>
        <v>-3.5155001597955149E-3</v>
      </c>
      <c r="D849">
        <f>(Prices!D411/Prices!D410)-1</f>
        <v>-2.6062704366224376E-2</v>
      </c>
      <c r="E849">
        <f>(Prices!E411/Prices!E410)-1</f>
        <v>-4.229955777735106E-3</v>
      </c>
      <c r="F849">
        <f>(Prices!F411/Prices!F410)-1</f>
        <v>4.9998084364584194E-3</v>
      </c>
      <c r="G849">
        <f t="shared" si="52"/>
        <v>-1.0752410211650186E-2</v>
      </c>
      <c r="H849" s="8">
        <f t="shared" si="55"/>
        <v>642165.26883157797</v>
      </c>
      <c r="I849" s="8">
        <f t="shared" si="53"/>
        <v>1067100.1647020529</v>
      </c>
      <c r="J849" s="13">
        <f t="shared" si="54"/>
        <v>-0.39821462869806779</v>
      </c>
    </row>
    <row r="850" spans="1:10" x14ac:dyDescent="0.25">
      <c r="A850" s="5">
        <v>45693</v>
      </c>
      <c r="B850">
        <f>(Prices!B410/Prices!B409)-1</f>
        <v>7.8702486725198417E-2</v>
      </c>
      <c r="C850">
        <f>(Prices!C410/Prices!C409)-1</f>
        <v>-2.2321428571429047E-3</v>
      </c>
      <c r="D850">
        <f>(Prices!D410/Prices!D409)-1</f>
        <v>6.7365989798862103E-4</v>
      </c>
      <c r="E850">
        <f>(Prices!E410/Prices!E409)-1</f>
        <v>-9.1823515964336577E-3</v>
      </c>
      <c r="F850">
        <f>(Prices!F410/Prices!F409)-1</f>
        <v>1.0452557005148799E-2</v>
      </c>
      <c r="G850">
        <f t="shared" si="52"/>
        <v>1.5682841834951857E-2</v>
      </c>
      <c r="H850" s="8">
        <f t="shared" si="55"/>
        <v>652236.24517456302</v>
      </c>
      <c r="I850" s="8">
        <f t="shared" si="53"/>
        <v>1067100.1647020529</v>
      </c>
      <c r="J850" s="13">
        <f t="shared" si="54"/>
        <v>-0.38877692390135171</v>
      </c>
    </row>
    <row r="851" spans="1:10" x14ac:dyDescent="0.25">
      <c r="A851" s="6">
        <v>45694</v>
      </c>
      <c r="B851">
        <f>(Prices!B409/Prices!B408)-1</f>
        <v>-1.4174716505669371E-3</v>
      </c>
      <c r="C851">
        <f>(Prices!C409/Prices!C408)-1</f>
        <v>-6.070653631421119E-3</v>
      </c>
      <c r="D851">
        <f>(Prices!D409/Prices!D408)-1</f>
        <v>1.3459475275529043E-2</v>
      </c>
      <c r="E851">
        <f>(Prices!E409/Prices!E408)-1</f>
        <v>-2.3368311379028173E-2</v>
      </c>
      <c r="F851">
        <f>(Prices!F409/Prices!F408)-1</f>
        <v>1.8431998738344557E-2</v>
      </c>
      <c r="G851">
        <f t="shared" si="52"/>
        <v>2.0700747057147409E-4</v>
      </c>
      <c r="H851" s="8">
        <f t="shared" si="55"/>
        <v>652371.26294989174</v>
      </c>
      <c r="I851" s="8">
        <f t="shared" si="53"/>
        <v>1067100.1647020529</v>
      </c>
      <c r="J851" s="13">
        <f t="shared" si="54"/>
        <v>-0.38865039615841351</v>
      </c>
    </row>
    <row r="852" spans="1:10" x14ac:dyDescent="0.25">
      <c r="A852" s="5">
        <v>45695</v>
      </c>
      <c r="B852">
        <f>(Prices!B408/Prices!B407)-1</f>
        <v>3.3756648214479545E-2</v>
      </c>
      <c r="C852">
        <f>(Prices!C408/Prices!C407)-1</f>
        <v>1.4795022143051506E-2</v>
      </c>
      <c r="D852">
        <f>(Prices!D408/Prices!D407)-1</f>
        <v>-4.2730892492959249E-3</v>
      </c>
      <c r="E852">
        <f>(Prices!E408/Prices!E407)-1</f>
        <v>3.9599521817095251E-3</v>
      </c>
      <c r="F852">
        <f>(Prices!F408/Prices!F407)-1</f>
        <v>5.7098673645392672E-3</v>
      </c>
      <c r="G852">
        <f t="shared" si="52"/>
        <v>1.0789680130896784E-2</v>
      </c>
      <c r="H852" s="8">
        <f t="shared" si="55"/>
        <v>659410.1402037103</v>
      </c>
      <c r="I852" s="8">
        <f t="shared" si="53"/>
        <v>1067100.1647020529</v>
      </c>
      <c r="J852" s="13">
        <f t="shared" si="54"/>
        <v>-0.38205412948481227</v>
      </c>
    </row>
    <row r="853" spans="1:10" x14ac:dyDescent="0.25">
      <c r="A853" s="6">
        <v>45698</v>
      </c>
      <c r="B853">
        <f>(Prices!B407/Prices!B406)-1</f>
        <v>-6.0416441903118345E-3</v>
      </c>
      <c r="C853">
        <f>(Prices!C407/Prices!C406)-1</f>
        <v>-5.9760956175298752E-3</v>
      </c>
      <c r="D853">
        <f>(Prices!D407/Prices!D406)-1</f>
        <v>-1.8772631980179089E-2</v>
      </c>
      <c r="E853">
        <f>(Prices!E407/Prices!E406)-1</f>
        <v>1.756253326237367E-2</v>
      </c>
      <c r="F853">
        <f>(Prices!F407/Prices!F406)-1</f>
        <v>-1.1891235356345287E-2</v>
      </c>
      <c r="G853">
        <f t="shared" si="52"/>
        <v>-5.0238147763984834E-3</v>
      </c>
      <c r="H853" s="8">
        <f t="shared" si="55"/>
        <v>656097.38579764788</v>
      </c>
      <c r="I853" s="8">
        <f t="shared" si="53"/>
        <v>1067100.1647020529</v>
      </c>
      <c r="J853" s="13">
        <f t="shared" si="54"/>
        <v>-0.38515857508012091</v>
      </c>
    </row>
    <row r="854" spans="1:10" x14ac:dyDescent="0.25">
      <c r="A854" s="5">
        <v>45699</v>
      </c>
      <c r="B854">
        <f>(Prices!B406/Prices!B405)-1</f>
        <v>6.1875814155447628E-3</v>
      </c>
      <c r="C854">
        <f>(Prices!C406/Prices!C405)-1</f>
        <v>1.897252679561312E-3</v>
      </c>
      <c r="D854">
        <f>(Prices!D406/Prices!D405)-1</f>
        <v>-6.2499999999999778E-3</v>
      </c>
      <c r="E854">
        <f>(Prices!E406/Prices!E405)-1</f>
        <v>-1.4350481471767318E-2</v>
      </c>
      <c r="F854">
        <f>(Prices!F406/Prices!F405)-1</f>
        <v>-1.0176523542996252E-3</v>
      </c>
      <c r="G854">
        <f t="shared" si="52"/>
        <v>-2.7066599461921699E-3</v>
      </c>
      <c r="H854" s="8">
        <f t="shared" si="55"/>
        <v>654321.55328270805</v>
      </c>
      <c r="I854" s="8">
        <f t="shared" si="53"/>
        <v>1067100.1647020529</v>
      </c>
      <c r="J854" s="13">
        <f t="shared" si="54"/>
        <v>-0.38682274173821124</v>
      </c>
    </row>
    <row r="855" spans="1:10" x14ac:dyDescent="0.25">
      <c r="A855" s="6">
        <v>45700</v>
      </c>
      <c r="B855">
        <f>(Prices!B405/Prices!B404)-1</f>
        <v>9.3130272816916992E-3</v>
      </c>
      <c r="C855">
        <f>(Prices!C405/Prices!C404)-1</f>
        <v>5.8738970952711966E-3</v>
      </c>
      <c r="D855">
        <f>(Prices!D405/Prices!D404)-1</f>
        <v>3.1048623315758528E-2</v>
      </c>
      <c r="E855">
        <f>(Prices!E405/Prices!E404)-1</f>
        <v>-1.6832497942694813E-3</v>
      </c>
      <c r="F855">
        <f>(Prices!F405/Prices!F404)-1</f>
        <v>1.2362800649839523E-2</v>
      </c>
      <c r="G855">
        <f t="shared" si="52"/>
        <v>1.1383019709658293E-2</v>
      </c>
      <c r="H855" s="8">
        <f t="shared" si="55"/>
        <v>661769.70842017932</v>
      </c>
      <c r="I855" s="8">
        <f t="shared" si="53"/>
        <v>1067100.1647020529</v>
      </c>
      <c r="J855" s="13">
        <f t="shared" si="54"/>
        <v>-0.37984293292190308</v>
      </c>
    </row>
    <row r="856" spans="1:10" x14ac:dyDescent="0.25">
      <c r="A856" s="5">
        <v>45701</v>
      </c>
      <c r="B856">
        <f>(Prices!B404/Prices!B403)-1</f>
        <v>-1.3563901648203314E-2</v>
      </c>
      <c r="C856">
        <f>(Prices!C404/Prices!C403)-1</f>
        <v>-3.6546819438956213E-3</v>
      </c>
      <c r="D856">
        <f>(Prices!D404/Prices!D403)-1</f>
        <v>-7.2695551032276873E-3</v>
      </c>
      <c r="E856">
        <f>(Prices!E404/Prices!E403)-1</f>
        <v>-3.1322246252518671E-3</v>
      </c>
      <c r="F856">
        <f>(Prices!F404/Prices!F403)-1</f>
        <v>-7.1209379180108279E-3</v>
      </c>
      <c r="G856">
        <f t="shared" si="52"/>
        <v>-6.9482602477178648E-3</v>
      </c>
      <c r="H856" s="8">
        <f t="shared" si="55"/>
        <v>657171.56026201951</v>
      </c>
      <c r="I856" s="8">
        <f t="shared" si="53"/>
        <v>1067100.1647020529</v>
      </c>
      <c r="J856" s="13">
        <f t="shared" si="54"/>
        <v>-0.38415194561842314</v>
      </c>
    </row>
    <row r="857" spans="1:10" x14ac:dyDescent="0.25">
      <c r="A857" s="6">
        <v>45702</v>
      </c>
      <c r="B857">
        <f>(Prices!B403/Prices!B402)-1</f>
        <v>4.8873201194679083E-3</v>
      </c>
      <c r="C857">
        <f>(Prices!C403/Prices!C402)-1</f>
        <v>5.1628276409849683E-3</v>
      </c>
      <c r="D857">
        <f>(Prices!D403/Prices!D402)-1</f>
        <v>-9.6833543139340783E-4</v>
      </c>
      <c r="E857">
        <f>(Prices!E403/Prices!E402)-1</f>
        <v>-9.6855908210402575E-4</v>
      </c>
      <c r="F857">
        <f>(Prices!F403/Prices!F402)-1</f>
        <v>1.4650113767913586E-2</v>
      </c>
      <c r="G857">
        <f t="shared" si="52"/>
        <v>4.5526734029738064E-3</v>
      </c>
      <c r="H857" s="8">
        <f t="shared" si="55"/>
        <v>660163.44774561515</v>
      </c>
      <c r="I857" s="8">
        <f t="shared" si="53"/>
        <v>1067100.1647020529</v>
      </c>
      <c r="J857" s="13">
        <f t="shared" si="54"/>
        <v>-0.38134819056096703</v>
      </c>
    </row>
    <row r="858" spans="1:10" x14ac:dyDescent="0.25">
      <c r="A858" s="5">
        <v>45706</v>
      </c>
      <c r="B858">
        <f>(Prices!B402/Prices!B401)-1</f>
        <v>7.9365079365081304E-3</v>
      </c>
      <c r="C858">
        <f>(Prices!C402/Prices!C401)-1</f>
        <v>-2.969708968521112E-3</v>
      </c>
      <c r="D858">
        <f>(Prices!D402/Prices!D401)-1</f>
        <v>-1.7224971450323534E-2</v>
      </c>
      <c r="E858">
        <f>(Prices!E402/Prices!E401)-1</f>
        <v>-1.1998527788001478E-2</v>
      </c>
      <c r="F858">
        <f>(Prices!F402/Prices!F401)-1</f>
        <v>4.5490588873586146E-2</v>
      </c>
      <c r="G858">
        <f t="shared" si="52"/>
        <v>4.2467777206496296E-3</v>
      </c>
      <c r="H858" s="8">
        <f t="shared" si="55"/>
        <v>662967.01516748848</v>
      </c>
      <c r="I858" s="8">
        <f t="shared" si="53"/>
        <v>1067100.1647020529</v>
      </c>
      <c r="J858" s="13">
        <f t="shared" si="54"/>
        <v>-0.37872091383980178</v>
      </c>
    </row>
    <row r="859" spans="1:10" x14ac:dyDescent="0.25">
      <c r="A859" s="6">
        <v>45707</v>
      </c>
      <c r="B859">
        <f>(Prices!B401/Prices!B400)-1</f>
        <v>-8.0894728269721439E-3</v>
      </c>
      <c r="C859">
        <f>(Prices!C401/Prices!C400)-1</f>
        <v>-1.2367404800312842E-2</v>
      </c>
      <c r="D859">
        <f>(Prices!D401/Prices!D400)-1</f>
        <v>-1.5203344735841284E-3</v>
      </c>
      <c r="E859">
        <f>(Prices!E401/Prices!E400)-1</f>
        <v>2.5090399232530203E-3</v>
      </c>
      <c r="F859">
        <f>(Prices!F401/Prices!F400)-1</f>
        <v>-2.018033490768556E-2</v>
      </c>
      <c r="G859">
        <f t="shared" si="52"/>
        <v>-7.9297014170603315E-3</v>
      </c>
      <c r="H859" s="8">
        <f t="shared" si="55"/>
        <v>657709.8846878506</v>
      </c>
      <c r="I859" s="8">
        <f t="shared" si="53"/>
        <v>1067100.1647020529</v>
      </c>
      <c r="J859" s="13">
        <f t="shared" si="54"/>
        <v>-0.38364747148971623</v>
      </c>
    </row>
    <row r="860" spans="1:10" x14ac:dyDescent="0.25">
      <c r="A860" s="5">
        <v>45708</v>
      </c>
      <c r="B860">
        <f>(Prices!B400/Prices!B399)-1</f>
        <v>3.8696315674733306E-3</v>
      </c>
      <c r="C860">
        <f>(Prices!C400/Prices!C399)-1</f>
        <v>-5.2516411378555894E-3</v>
      </c>
      <c r="D860">
        <f>(Prices!D400/Prices!D399)-1</f>
        <v>-1.5160022459292599E-2</v>
      </c>
      <c r="E860">
        <f>(Prices!E400/Prices!E399)-1</f>
        <v>4.6651733992430611E-2</v>
      </c>
      <c r="F860">
        <f>(Prices!F400/Prices!F399)-1</f>
        <v>1.7157474419765339E-2</v>
      </c>
      <c r="G860">
        <f t="shared" si="52"/>
        <v>9.4534352765042184E-3</v>
      </c>
      <c r="H860" s="8">
        <f t="shared" si="55"/>
        <v>663927.50251346431</v>
      </c>
      <c r="I860" s="8">
        <f t="shared" si="53"/>
        <v>1067100.1647020529</v>
      </c>
      <c r="J860" s="13">
        <f t="shared" si="54"/>
        <v>-0.37782082275393447</v>
      </c>
    </row>
    <row r="861" spans="1:10" x14ac:dyDescent="0.25">
      <c r="A861" s="6">
        <v>45709</v>
      </c>
      <c r="B861">
        <f>(Prices!B399/Prices!B398)-1</f>
        <v>2.7266110520127507E-2</v>
      </c>
      <c r="C861">
        <f>(Prices!C399/Prices!C398)-1</f>
        <v>1.9406647334374361E-2</v>
      </c>
      <c r="D861">
        <f>(Prices!D399/Prices!D398)-1</f>
        <v>1.1836000378752098E-2</v>
      </c>
      <c r="E861">
        <f>(Prices!E399/Prices!E398)-1</f>
        <v>9.6701239959449126E-3</v>
      </c>
      <c r="F861">
        <f>(Prices!F399/Prices!F398)-1</f>
        <v>7.719879922935613E-2</v>
      </c>
      <c r="G861">
        <f t="shared" si="52"/>
        <v>2.9075536291711002E-2</v>
      </c>
      <c r="H861" s="8">
        <f t="shared" si="55"/>
        <v>683231.55070785957</v>
      </c>
      <c r="I861" s="8">
        <f t="shared" si="53"/>
        <v>1067100.1647020529</v>
      </c>
      <c r="J861" s="13">
        <f t="shared" si="54"/>
        <v>-0.35973062950596962</v>
      </c>
    </row>
    <row r="862" spans="1:10" x14ac:dyDescent="0.25">
      <c r="A862" s="5">
        <v>45712</v>
      </c>
      <c r="B862">
        <f>(Prices!B398/Prices!B397)-1</f>
        <v>2.3007856341190625E-3</v>
      </c>
      <c r="C862">
        <f>(Prices!C398/Prices!C397)-1</f>
        <v>1.041797099997499E-2</v>
      </c>
      <c r="D862">
        <f>(Prices!D398/Prices!D397)-1</f>
        <v>-5.1808590806329269E-3</v>
      </c>
      <c r="E862">
        <f>(Prices!E398/Prices!E397)-1</f>
        <v>1.11181201703201E-2</v>
      </c>
      <c r="F862">
        <f>(Prices!F398/Prices!F397)-1</f>
        <v>1.0618306957368207E-2</v>
      </c>
      <c r="G862">
        <f t="shared" si="52"/>
        <v>5.8548649362298866E-3</v>
      </c>
      <c r="H862" s="8">
        <f t="shared" si="55"/>
        <v>687231.77915742504</v>
      </c>
      <c r="I862" s="8">
        <f t="shared" si="53"/>
        <v>1067100.1647020529</v>
      </c>
      <c r="J862" s="13">
        <f t="shared" si="54"/>
        <v>-0.35598193881892209</v>
      </c>
    </row>
    <row r="863" spans="1:10" x14ac:dyDescent="0.25">
      <c r="A863" s="6">
        <v>45713</v>
      </c>
      <c r="B863">
        <f>(Prices!B397/Prices!B396)-1</f>
        <v>2.1788990825688082E-2</v>
      </c>
      <c r="C863">
        <f>(Prices!C397/Prices!C396)-1</f>
        <v>1.5332587469487402E-2</v>
      </c>
      <c r="D863">
        <f>(Prices!D397/Prices!D396)-1</f>
        <v>1.4041455726430341E-2</v>
      </c>
      <c r="E863">
        <f>(Prices!E397/Prices!E396)-1</f>
        <v>1.5291009526859245E-2</v>
      </c>
      <c r="F863">
        <f>(Prices!F397/Prices!F396)-1</f>
        <v>-1.8837328120487884E-2</v>
      </c>
      <c r="G863">
        <f t="shared" si="52"/>
        <v>9.5233430855954371E-3</v>
      </c>
      <c r="H863" s="8">
        <f t="shared" si="55"/>
        <v>693776.52316966536</v>
      </c>
      <c r="I863" s="8">
        <f t="shared" si="53"/>
        <v>1067100.1647020529</v>
      </c>
      <c r="J863" s="13">
        <f t="shared" si="54"/>
        <v>-0.34984873386897469</v>
      </c>
    </row>
    <row r="864" spans="1:10" x14ac:dyDescent="0.25">
      <c r="A864" s="5">
        <v>45714</v>
      </c>
      <c r="B864">
        <f>(Prices!B396/Prices!B395)-1</f>
        <v>1.5606801770323919E-2</v>
      </c>
      <c r="C864">
        <f>(Prices!C396/Prices!C395)-1</f>
        <v>-4.5812346553949501E-3</v>
      </c>
      <c r="D864">
        <f>(Prices!D396/Prices!D395)-1</f>
        <v>2.4897060231732215E-3</v>
      </c>
      <c r="E864">
        <f>(Prices!E396/Prices!E395)-1</f>
        <v>-5.37484572202096E-3</v>
      </c>
      <c r="F864">
        <f>(Prices!F396/Prices!F395)-1</f>
        <v>1.4627659574468099E-2</v>
      </c>
      <c r="G864">
        <f t="shared" si="52"/>
        <v>4.5536173981098656E-3</v>
      </c>
      <c r="H864" s="8">
        <f t="shared" si="55"/>
        <v>696935.71601597092</v>
      </c>
      <c r="I864" s="8">
        <f t="shared" si="53"/>
        <v>1067100.1647020529</v>
      </c>
      <c r="J864" s="13">
        <f t="shared" si="54"/>
        <v>-0.34688819375211732</v>
      </c>
    </row>
    <row r="865" spans="1:10" x14ac:dyDescent="0.25">
      <c r="A865" s="6">
        <v>45715</v>
      </c>
      <c r="B865">
        <f>(Prices!B395/Prices!B394)-1</f>
        <v>2.5071633237822244E-2</v>
      </c>
      <c r="C865">
        <f>(Prices!C395/Prices!C394)-1</f>
        <v>1.8325686891076831E-2</v>
      </c>
      <c r="D865">
        <f>(Prices!D395/Prices!D394)-1</f>
        <v>-6.2803311447330312E-3</v>
      </c>
      <c r="E865">
        <f>(Prices!E395/Prices!E394)-1</f>
        <v>-9.9435208018450183E-4</v>
      </c>
      <c r="F865">
        <f>(Prices!F395/Prices!F394)-1</f>
        <v>-1.0592511651762782E-2</v>
      </c>
      <c r="G865">
        <f t="shared" si="52"/>
        <v>5.1060250504437518E-3</v>
      </c>
      <c r="H865" s="8">
        <f t="shared" si="55"/>
        <v>700494.28724049742</v>
      </c>
      <c r="I865" s="8">
        <f t="shared" si="53"/>
        <v>1067100.1647020529</v>
      </c>
      <c r="J865" s="13">
        <f t="shared" si="54"/>
        <v>-0.34355338850867506</v>
      </c>
    </row>
    <row r="866" spans="1:10" x14ac:dyDescent="0.25">
      <c r="A866" s="5">
        <v>45716</v>
      </c>
      <c r="B866">
        <f>(Prices!B394/Prices!B393)-1</f>
        <v>-1.045543150806294E-2</v>
      </c>
      <c r="C866">
        <f>(Prices!C394/Prices!C393)-1</f>
        <v>-1.1213619450532564E-2</v>
      </c>
      <c r="D866">
        <f>(Prices!D394/Prices!D393)-1</f>
        <v>-1.0638297872340385E-2</v>
      </c>
      <c r="E866">
        <f>(Prices!E394/Prices!E393)-1</f>
        <v>-2.1140743624683767E-2</v>
      </c>
      <c r="F866">
        <f>(Prices!F394/Prices!F393)-1</f>
        <v>-1.3485568461809261E-2</v>
      </c>
      <c r="G866">
        <f t="shared" si="52"/>
        <v>-1.3386732183485784E-2</v>
      </c>
      <c r="H866" s="8">
        <f t="shared" si="55"/>
        <v>691116.95782114717</v>
      </c>
      <c r="I866" s="8">
        <f t="shared" si="53"/>
        <v>1067100.1647020529</v>
      </c>
      <c r="J866" s="13">
        <f t="shared" si="54"/>
        <v>-0.35234106348946609</v>
      </c>
    </row>
    <row r="867" spans="1:10" x14ac:dyDescent="0.25">
      <c r="A867" s="6">
        <v>45719</v>
      </c>
      <c r="B867">
        <f>(Prices!B393/Prices!B392)-1</f>
        <v>1.9573596723680975E-2</v>
      </c>
      <c r="C867">
        <f>(Prices!C393/Prices!C392)-1</f>
        <v>2.1876139382259518E-2</v>
      </c>
      <c r="D867">
        <f>(Prices!D393/Prices!D392)-1</f>
        <v>3.316797976850494E-2</v>
      </c>
      <c r="E867">
        <f>(Prices!E393/Prices!E392)-1</f>
        <v>1.5458211433541758E-2</v>
      </c>
      <c r="F867">
        <f>(Prices!F393/Prices!F392)-1</f>
        <v>1.693550191279436E-2</v>
      </c>
      <c r="G867">
        <f t="shared" si="52"/>
        <v>2.1402285844156307E-2</v>
      </c>
      <c r="H867" s="8">
        <f t="shared" si="55"/>
        <v>705908.4405041791</v>
      </c>
      <c r="I867" s="8">
        <f t="shared" si="53"/>
        <v>1067100.1647020529</v>
      </c>
      <c r="J867" s="13">
        <f t="shared" si="54"/>
        <v>-0.33847968180074534</v>
      </c>
    </row>
    <row r="868" spans="1:10" x14ac:dyDescent="0.25">
      <c r="A868" s="5">
        <v>45720</v>
      </c>
      <c r="B868">
        <f>(Prices!B392/Prices!B391)-1</f>
        <v>-2.2834274952919009E-2</v>
      </c>
      <c r="C868">
        <f>(Prices!C392/Prices!C391)-1</f>
        <v>-3.1241864097897309E-4</v>
      </c>
      <c r="D868">
        <f>(Prices!D392/Prices!D391)-1</f>
        <v>2.0467836257309635E-3</v>
      </c>
      <c r="E868">
        <f>(Prices!E392/Prices!E391)-1</f>
        <v>4.1419631093544185E-2</v>
      </c>
      <c r="F868">
        <f>(Prices!F392/Prices!F391)-1</f>
        <v>-1.5917396856149013E-2</v>
      </c>
      <c r="G868">
        <f t="shared" si="52"/>
        <v>8.8046485384563099E-4</v>
      </c>
      <c r="H868" s="8">
        <f t="shared" si="55"/>
        <v>706529.96807607601</v>
      </c>
      <c r="I868" s="8">
        <f t="shared" si="53"/>
        <v>1067100.1647020529</v>
      </c>
      <c r="J868" s="13">
        <f t="shared" si="54"/>
        <v>-0.33789723641046615</v>
      </c>
    </row>
    <row r="869" spans="1:10" x14ac:dyDescent="0.25">
      <c r="A869" s="6">
        <v>45721</v>
      </c>
      <c r="B869">
        <f>(Prices!B391/Prices!B390)-1</f>
        <v>-1.2150456368815732E-2</v>
      </c>
      <c r="C869">
        <f>(Prices!C391/Prices!C390)-1</f>
        <v>-3.0955925019552355E-2</v>
      </c>
      <c r="D869">
        <f>(Prices!D391/Prices!D390)-1</f>
        <v>1.9880715705765439E-2</v>
      </c>
      <c r="E869">
        <f>(Prices!E391/Prices!E390)-1</f>
        <v>-5.0794691135507275E-3</v>
      </c>
      <c r="F869">
        <f>(Prices!F391/Prices!F390)-1</f>
        <v>-2.8757710798409386E-3</v>
      </c>
      <c r="G869">
        <f t="shared" si="52"/>
        <v>-6.2361811751988627E-3</v>
      </c>
      <c r="H869" s="8">
        <f t="shared" si="55"/>
        <v>702123.91918944614</v>
      </c>
      <c r="I869" s="8">
        <f t="shared" si="53"/>
        <v>1067100.1647020529</v>
      </c>
      <c r="J869" s="13">
        <f t="shared" si="54"/>
        <v>-0.34202622920081033</v>
      </c>
    </row>
    <row r="870" spans="1:10" x14ac:dyDescent="0.25">
      <c r="A870" s="5">
        <v>45722</v>
      </c>
      <c r="B870">
        <f>(Prices!B390/Prices!B389)-1</f>
        <v>3.9103536827360674E-3</v>
      </c>
      <c r="C870">
        <f>(Prices!C390/Prices!C389)-1</f>
        <v>1.0426226164984342E-2</v>
      </c>
      <c r="D870">
        <f>(Prices!D390/Prices!D389)-1</f>
        <v>-2.0257109466303214E-2</v>
      </c>
      <c r="E870">
        <f>(Prices!E390/Prices!E389)-1</f>
        <v>2.0227348712805071E-2</v>
      </c>
      <c r="F870">
        <f>(Prices!F390/Prices!F389)-1</f>
        <v>-2.4080382201084105E-2</v>
      </c>
      <c r="G870">
        <f t="shared" si="52"/>
        <v>-1.9547126213723671E-3</v>
      </c>
      <c r="H870" s="8">
        <f t="shared" si="55"/>
        <v>700751.46870283911</v>
      </c>
      <c r="I870" s="8">
        <f t="shared" si="53"/>
        <v>1067100.1647020529</v>
      </c>
      <c r="J870" s="13">
        <f t="shared" si="54"/>
        <v>-0.34331237883512344</v>
      </c>
    </row>
    <row r="871" spans="1:10" x14ac:dyDescent="0.25">
      <c r="A871" s="6">
        <v>45723</v>
      </c>
      <c r="B871">
        <f>(Prices!B389/Prices!B388)-1</f>
        <v>-8.7358981776105571E-3</v>
      </c>
      <c r="C871">
        <f>(Prices!C389/Prices!C388)-1</f>
        <v>9.0803858520900338E-3</v>
      </c>
      <c r="D871">
        <f>(Prices!D389/Prices!D388)-1</f>
        <v>-1.2787231996923332E-2</v>
      </c>
      <c r="E871">
        <f>(Prices!E389/Prices!E388)-1</f>
        <v>1.7606532278642506E-2</v>
      </c>
      <c r="F871">
        <f>(Prices!F389/Prices!F388)-1</f>
        <v>-1.1666807825866043E-2</v>
      </c>
      <c r="G871">
        <f t="shared" si="52"/>
        <v>-1.3006039739334786E-3</v>
      </c>
      <c r="H871" s="8">
        <f t="shared" si="55"/>
        <v>699840.06855790445</v>
      </c>
      <c r="I871" s="8">
        <f t="shared" si="53"/>
        <v>1067100.1647020529</v>
      </c>
      <c r="J871" s="13">
        <f t="shared" si="54"/>
        <v>-0.34416646936484346</v>
      </c>
    </row>
    <row r="872" spans="1:10" x14ac:dyDescent="0.25">
      <c r="A872" s="5">
        <v>45726</v>
      </c>
      <c r="B872">
        <f>(Prices!B388/Prices!B387)-1</f>
        <v>4.7004664122599848E-2</v>
      </c>
      <c r="C872">
        <f>(Prices!C388/Prices!C387)-1</f>
        <v>3.4597471723220252E-2</v>
      </c>
      <c r="D872">
        <f>(Prices!D388/Prices!D387)-1</f>
        <v>-2.4936720727477213E-2</v>
      </c>
      <c r="E872">
        <f>(Prices!E388/Prices!E387)-1</f>
        <v>4.330464105066989E-2</v>
      </c>
      <c r="F872">
        <f>(Prices!F388/Prices!F387)-1</f>
        <v>2.3225582806135625E-2</v>
      </c>
      <c r="G872">
        <f t="shared" si="52"/>
        <v>2.4639127795029681E-2</v>
      </c>
      <c r="H872" s="8">
        <f t="shared" si="55"/>
        <v>717083.51744318509</v>
      </c>
      <c r="I872" s="8">
        <f t="shared" si="53"/>
        <v>1067100.1647020529</v>
      </c>
      <c r="J872" s="13">
        <f t="shared" si="54"/>
        <v>-0.3280073031912582</v>
      </c>
    </row>
    <row r="873" spans="1:10" x14ac:dyDescent="0.25">
      <c r="A873" s="6">
        <v>45727</v>
      </c>
      <c r="B873">
        <f>(Prices!B387/Prices!B386)-1</f>
        <v>1.1147179518588901E-2</v>
      </c>
      <c r="C873">
        <f>(Prices!C387/Prices!C386)-1</f>
        <v>-7.7119455377094859E-4</v>
      </c>
      <c r="D873">
        <f>(Prices!D387/Prices!D386)-1</f>
        <v>2.4195871339414365E-2</v>
      </c>
      <c r="E873">
        <f>(Prices!E387/Prices!E386)-1</f>
        <v>1.3444849138900095E-2</v>
      </c>
      <c r="F873">
        <f>(Prices!F387/Prices!F386)-1</f>
        <v>-1.1966177887188234E-2</v>
      </c>
      <c r="G873">
        <f t="shared" si="52"/>
        <v>7.2101055111888374E-3</v>
      </c>
      <c r="H873" s="8">
        <f t="shared" si="55"/>
        <v>722253.76526428491</v>
      </c>
      <c r="I873" s="8">
        <f t="shared" si="53"/>
        <v>1067100.1647020529</v>
      </c>
      <c r="J873" s="13">
        <f t="shared" si="54"/>
        <v>-0.32316216494451883</v>
      </c>
    </row>
    <row r="874" spans="1:10" x14ac:dyDescent="0.25">
      <c r="A874" s="5">
        <v>45728</v>
      </c>
      <c r="B874">
        <f>(Prices!B386/Prices!B385)-1</f>
        <v>-1.8397162267780875E-2</v>
      </c>
      <c r="C874">
        <f>(Prices!C386/Prices!C385)-1</f>
        <v>-7.3385776886119025E-3</v>
      </c>
      <c r="D874">
        <f>(Prices!D386/Prices!D385)-1</f>
        <v>2.8812908182862529E-4</v>
      </c>
      <c r="E874">
        <f>(Prices!E386/Prices!E385)-1</f>
        <v>5.4252000542518442E-3</v>
      </c>
      <c r="F874">
        <f>(Prices!F386/Prices!F385)-1</f>
        <v>1.0250643368439061E-2</v>
      </c>
      <c r="G874">
        <f t="shared" si="52"/>
        <v>-1.9543534903746487E-3</v>
      </c>
      <c r="H874" s="8">
        <f t="shared" si="55"/>
        <v>720842.22609720437</v>
      </c>
      <c r="I874" s="8">
        <f t="shared" si="53"/>
        <v>1067100.1647020529</v>
      </c>
      <c r="J874" s="13">
        <f t="shared" si="54"/>
        <v>-0.32448494532987715</v>
      </c>
    </row>
    <row r="875" spans="1:10" x14ac:dyDescent="0.25">
      <c r="A875" s="6">
        <v>45729</v>
      </c>
      <c r="B875">
        <f>(Prices!B385/Prices!B384)-1</f>
        <v>2.6728395061728527E-2</v>
      </c>
      <c r="C875">
        <f>(Prices!C385/Prices!C384)-1</f>
        <v>1.1859607885036594E-2</v>
      </c>
      <c r="D875">
        <f>(Prices!D385/Prices!D384)-1</f>
        <v>4.2438271604938738E-3</v>
      </c>
      <c r="E875">
        <f>(Prices!E385/Prices!E384)-1</f>
        <v>1.2033308931185926E-2</v>
      </c>
      <c r="F875">
        <f>(Prices!F385/Prices!F384)-1</f>
        <v>-8.4269662921343524E-4</v>
      </c>
      <c r="G875">
        <f t="shared" si="52"/>
        <v>1.0804488481846298E-2</v>
      </c>
      <c r="H875" s="8">
        <f t="shared" si="55"/>
        <v>728630.55762630014</v>
      </c>
      <c r="I875" s="8">
        <f t="shared" si="53"/>
        <v>1067100.1647020529</v>
      </c>
      <c r="J875" s="13">
        <f t="shared" si="54"/>
        <v>-0.31718635070237999</v>
      </c>
    </row>
    <row r="876" spans="1:10" x14ac:dyDescent="0.25">
      <c r="A876" s="5">
        <v>45730</v>
      </c>
      <c r="B876">
        <f>(Prices!B384/Prices!B383)-1</f>
        <v>-1.6453160099568986E-2</v>
      </c>
      <c r="C876">
        <f>(Prices!C384/Prices!C383)-1</f>
        <v>-2.5179013149329577E-2</v>
      </c>
      <c r="D876">
        <f>(Prices!D384/Prices!D383)-1</f>
        <v>-2.8849756463094733E-2</v>
      </c>
      <c r="E876">
        <f>(Prices!E384/Prices!E383)-1</f>
        <v>-3.1162728844363663E-2</v>
      </c>
      <c r="F876">
        <f>(Prices!F384/Prices!F383)-1</f>
        <v>-1.4606310948345635E-2</v>
      </c>
      <c r="G876">
        <f t="shared" si="52"/>
        <v>-2.3250193900940522E-2</v>
      </c>
      <c r="H876" s="8">
        <f t="shared" si="55"/>
        <v>711689.75587933825</v>
      </c>
      <c r="I876" s="8">
        <f t="shared" si="53"/>
        <v>1067100.1647020529</v>
      </c>
      <c r="J876" s="13">
        <f t="shared" si="54"/>
        <v>-0.33306190044675843</v>
      </c>
    </row>
    <row r="877" spans="1:10" x14ac:dyDescent="0.25">
      <c r="A877" s="6">
        <v>45733</v>
      </c>
      <c r="B877">
        <f>(Prices!B383/Prices!B382)-1</f>
        <v>7.2773972602739878E-3</v>
      </c>
      <c r="C877">
        <f>(Prices!C383/Prices!C382)-1</f>
        <v>-3.6440302975082606E-4</v>
      </c>
      <c r="D877">
        <f>(Prices!D383/Prices!D382)-1</f>
        <v>-1.639948406117564E-2</v>
      </c>
      <c r="E877">
        <f>(Prices!E383/Prices!E382)-1</f>
        <v>-6.3865398167722853E-3</v>
      </c>
      <c r="F877">
        <f>(Prices!F383/Prices!F382)-1</f>
        <v>-2.0766440098411221E-2</v>
      </c>
      <c r="G877">
        <f t="shared" si="52"/>
        <v>-7.3278939491671974E-3</v>
      </c>
      <c r="H877" s="8">
        <f t="shared" si="55"/>
        <v>706474.56882354571</v>
      </c>
      <c r="I877" s="8">
        <f t="shared" si="53"/>
        <v>1067100.1647020529</v>
      </c>
      <c r="J877" s="13">
        <f t="shared" si="54"/>
        <v>-0.33794915211094378</v>
      </c>
    </row>
    <row r="878" spans="1:10" x14ac:dyDescent="0.25">
      <c r="A878" s="5">
        <v>45734</v>
      </c>
      <c r="B878">
        <f>(Prices!B382/Prices!B381)-1</f>
        <v>2.2511255627813975E-2</v>
      </c>
      <c r="C878">
        <f>(Prices!C382/Prices!C381)-1</f>
        <v>1.3506740179914045E-2</v>
      </c>
      <c r="D878">
        <f>(Prices!D382/Prices!D381)-1</f>
        <v>1.1068068622026583E-3</v>
      </c>
      <c r="E878">
        <f>(Prices!E382/Prices!E381)-1</f>
        <v>-4.4288533216401138E-3</v>
      </c>
      <c r="F878">
        <f>(Prices!F382/Prices!F381)-1</f>
        <v>-9.4998141340713049E-3</v>
      </c>
      <c r="G878">
        <f t="shared" si="52"/>
        <v>4.6392270428438527E-3</v>
      </c>
      <c r="H878" s="8">
        <f t="shared" si="55"/>
        <v>709752.06474831339</v>
      </c>
      <c r="I878" s="8">
        <f t="shared" si="53"/>
        <v>1067100.1647020529</v>
      </c>
      <c r="J878" s="13">
        <f t="shared" si="54"/>
        <v>-0.33487774791367914</v>
      </c>
    </row>
    <row r="879" spans="1:10" x14ac:dyDescent="0.25">
      <c r="A879" s="6">
        <v>45735</v>
      </c>
      <c r="B879">
        <f>(Prices!B381/Prices!B380)-1</f>
        <v>-1.9617459538989857E-2</v>
      </c>
      <c r="C879">
        <f>(Prices!C381/Prices!C380)-1</f>
        <v>-1.108734216842322E-2</v>
      </c>
      <c r="D879">
        <f>(Prices!D381/Prices!D380)-1</f>
        <v>-1.5348288075560768E-2</v>
      </c>
      <c r="E879">
        <f>(Prices!E381/Prices!E380)-1</f>
        <v>-1.7322359632869322E-2</v>
      </c>
      <c r="F879">
        <f>(Prices!F381/Prices!F380)-1</f>
        <v>1.1992391034654215E-3</v>
      </c>
      <c r="G879">
        <f t="shared" si="52"/>
        <v>-1.243524206247555E-2</v>
      </c>
      <c r="H879" s="8">
        <f t="shared" si="55"/>
        <v>700926.12601882627</v>
      </c>
      <c r="I879" s="8">
        <f t="shared" si="53"/>
        <v>1067100.1647020529</v>
      </c>
      <c r="J879" s="13">
        <f t="shared" si="54"/>
        <v>-0.34314870411951143</v>
      </c>
    </row>
    <row r="880" spans="1:10" x14ac:dyDescent="0.25">
      <c r="A880" s="5">
        <v>45736</v>
      </c>
      <c r="B880">
        <f>(Prices!B380/Prices!B379)-1</f>
        <v>6.6650209824734574E-3</v>
      </c>
      <c r="C880">
        <f>(Prices!C380/Prices!C379)-1</f>
        <v>2.5369425918659871E-3</v>
      </c>
      <c r="D880">
        <f>(Prices!D380/Prices!D379)-1</f>
        <v>-4.2503165129318399E-3</v>
      </c>
      <c r="E880">
        <f>(Prices!E380/Prices!E379)-1</f>
        <v>4.3109022718446077E-4</v>
      </c>
      <c r="F880">
        <f>(Prices!F380/Prices!F379)-1</f>
        <v>-1.5851698105528778E-2</v>
      </c>
      <c r="G880">
        <f t="shared" si="52"/>
        <v>-2.0937921633873424E-3</v>
      </c>
      <c r="H880" s="8">
        <f t="shared" si="55"/>
        <v>699458.53238905466</v>
      </c>
      <c r="I880" s="8">
        <f t="shared" si="53"/>
        <v>1067100.1647020529</v>
      </c>
      <c r="J880" s="13">
        <f t="shared" si="54"/>
        <v>-0.34452401421533674</v>
      </c>
    </row>
    <row r="881" spans="1:10" x14ac:dyDescent="0.25">
      <c r="A881" s="6">
        <v>45737</v>
      </c>
      <c r="B881">
        <f>(Prices!B379/Prices!B378)-1</f>
        <v>-7.2295061879672495E-3</v>
      </c>
      <c r="C881">
        <f>(Prices!C379/Prices!C378)-1</f>
        <v>-1.1300165494414594E-2</v>
      </c>
      <c r="D881">
        <f>(Prices!D379/Prices!D378)-1</f>
        <v>3.4482758620688614E-3</v>
      </c>
      <c r="E881">
        <f>(Prices!E379/Prices!E378)-1</f>
        <v>-1.0831094622830495E-2</v>
      </c>
      <c r="F881">
        <f>(Prices!F379/Prices!F378)-1</f>
        <v>-1.0729527337144718E-2</v>
      </c>
      <c r="G881">
        <f t="shared" si="52"/>
        <v>-7.328403556057639E-3</v>
      </c>
      <c r="H881" s="8">
        <f t="shared" si="55"/>
        <v>694332.61799297982</v>
      </c>
      <c r="I881" s="8">
        <f t="shared" si="53"/>
        <v>1067100.1647020529</v>
      </c>
      <c r="J881" s="13">
        <f t="shared" si="54"/>
        <v>-0.34932760676047148</v>
      </c>
    </row>
    <row r="882" spans="1:10" x14ac:dyDescent="0.25">
      <c r="A882" s="5">
        <v>45740</v>
      </c>
      <c r="B882">
        <f>(Prices!B378/Prices!B377)-1</f>
        <v>-2.1990532686200437E-2</v>
      </c>
      <c r="C882">
        <f>(Prices!C378/Prices!C377)-1</f>
        <v>-4.6329661278697865E-3</v>
      </c>
      <c r="D882">
        <f>(Prices!D378/Prices!D377)-1</f>
        <v>-2.5343953656770113E-3</v>
      </c>
      <c r="E882">
        <f>(Prices!E378/Prices!E377)-1</f>
        <v>-2.5919003115264849E-2</v>
      </c>
      <c r="F882">
        <f>(Prices!F378/Prices!F377)-1</f>
        <v>6.6474628849988449E-4</v>
      </c>
      <c r="G882">
        <f t="shared" si="52"/>
        <v>-1.0882430201302442E-2</v>
      </c>
      <c r="H882" s="8">
        <f t="shared" si="55"/>
        <v>686776.59174118366</v>
      </c>
      <c r="I882" s="8">
        <f t="shared" si="53"/>
        <v>1067100.1647020529</v>
      </c>
      <c r="J882" s="13">
        <f t="shared" si="54"/>
        <v>-0.35640850366381505</v>
      </c>
    </row>
    <row r="883" spans="1:10" x14ac:dyDescent="0.25">
      <c r="A883" s="6">
        <v>45741</v>
      </c>
      <c r="B883">
        <f>(Prices!B377/Prices!B376)-1</f>
        <v>-1.6906220546654138E-2</v>
      </c>
      <c r="C883">
        <f>(Prices!C377/Prices!C376)-1</f>
        <v>-5.2742075887142192E-3</v>
      </c>
      <c r="D883">
        <f>(Prices!D377/Prices!D376)-1</f>
        <v>-6.832074793239773E-3</v>
      </c>
      <c r="E883">
        <f>(Prices!E377/Prices!E376)-1</f>
        <v>-1.2226644237475881E-2</v>
      </c>
      <c r="F883">
        <f>(Prices!F377/Prices!F376)-1</f>
        <v>5.9983382981740885E-3</v>
      </c>
      <c r="G883">
        <f t="shared" si="52"/>
        <v>-7.0481617735819848E-3</v>
      </c>
      <c r="H883" s="8">
        <f t="shared" si="55"/>
        <v>681936.0792202825</v>
      </c>
      <c r="I883" s="8">
        <f t="shared" si="53"/>
        <v>1067100.1647020529</v>
      </c>
      <c r="J883" s="13">
        <f t="shared" si="54"/>
        <v>-0.36094464064609422</v>
      </c>
    </row>
    <row r="884" spans="1:10" x14ac:dyDescent="0.25">
      <c r="A884" s="5">
        <v>45742</v>
      </c>
      <c r="B884">
        <f>(Prices!B376/Prices!B375)-1</f>
        <v>3.3294783614340462E-2</v>
      </c>
      <c r="C884">
        <f>(Prices!C376/Prices!C375)-1</f>
        <v>1.3309119211311504E-2</v>
      </c>
      <c r="D884">
        <f>(Prices!D376/Prices!D375)-1</f>
        <v>-1.4179369018078813E-2</v>
      </c>
      <c r="E884">
        <f>(Prices!E376/Prices!E375)-1</f>
        <v>3.6939747167963333E-4</v>
      </c>
      <c r="F884">
        <f>(Prices!F376/Prices!F375)-1</f>
        <v>-9.2157571376941805E-3</v>
      </c>
      <c r="G884">
        <f t="shared" si="52"/>
        <v>4.7156348283117202E-3</v>
      </c>
      <c r="H884" s="8">
        <f t="shared" si="55"/>
        <v>685151.84074613603</v>
      </c>
      <c r="I884" s="8">
        <f t="shared" si="53"/>
        <v>1067100.1647020529</v>
      </c>
      <c r="J884" s="13">
        <f t="shared" si="54"/>
        <v>-0.35793108893630565</v>
      </c>
    </row>
    <row r="885" spans="1:10" x14ac:dyDescent="0.25">
      <c r="A885" s="6">
        <v>45743</v>
      </c>
      <c r="B885">
        <f>(Prices!B375/Prices!B374)-1</f>
        <v>1.7401535793906353E-2</v>
      </c>
      <c r="C885">
        <f>(Prices!C375/Prices!C374)-1</f>
        <v>-1.5542028234685201E-3</v>
      </c>
      <c r="D885">
        <f>(Prices!D375/Prices!D374)-1</f>
        <v>3.2005689900427292E-3</v>
      </c>
      <c r="E885">
        <f>(Prices!E375/Prices!E374)-1</f>
        <v>1.1752003654333265E-2</v>
      </c>
      <c r="F885">
        <f>(Prices!F375/Prices!F374)-1</f>
        <v>4.8014848289219536E-3</v>
      </c>
      <c r="G885">
        <f t="shared" si="52"/>
        <v>7.1202780887471562E-3</v>
      </c>
      <c r="H885" s="8">
        <f t="shared" si="55"/>
        <v>690030.31238526548</v>
      </c>
      <c r="I885" s="8">
        <f t="shared" si="53"/>
        <v>1067100.1647020529</v>
      </c>
      <c r="J885" s="13">
        <f t="shared" si="54"/>
        <v>-0.35335937973739312</v>
      </c>
    </row>
    <row r="886" spans="1:10" x14ac:dyDescent="0.25">
      <c r="A886" s="5">
        <v>45744</v>
      </c>
      <c r="B886">
        <f>(Prices!B374/Prices!B373)-1</f>
        <v>5.1233643642991877E-2</v>
      </c>
      <c r="C886">
        <f>(Prices!C374/Prices!C373)-1</f>
        <v>3.1116452991453158E-2</v>
      </c>
      <c r="D886">
        <f>(Prices!D374/Prices!D373)-1</f>
        <v>1.4245014245015675E-3</v>
      </c>
      <c r="E886">
        <f>(Prices!E374/Prices!E373)-1</f>
        <v>2.1680101824353093E-2</v>
      </c>
      <c r="F886">
        <f>(Prices!F374/Prices!F373)-1</f>
        <v>-6.048630993185089E-4</v>
      </c>
      <c r="G886">
        <f t="shared" si="52"/>
        <v>2.0969967356796237E-2</v>
      </c>
      <c r="H886" s="8">
        <f t="shared" si="55"/>
        <v>704500.22551118443</v>
      </c>
      <c r="I886" s="8">
        <f t="shared" si="53"/>
        <v>1067100.1647020529</v>
      </c>
      <c r="J886" s="13">
        <f t="shared" si="54"/>
        <v>-0.33979934703890774</v>
      </c>
    </row>
    <row r="887" spans="1:10" x14ac:dyDescent="0.25">
      <c r="A887" s="6">
        <v>45747</v>
      </c>
      <c r="B887">
        <f>(Prices!B373/Prices!B372)-1</f>
        <v>-1.9491910856993533E-3</v>
      </c>
      <c r="C887">
        <f>(Prices!C373/Prices!C372)-1</f>
        <v>9.0828234913618022E-3</v>
      </c>
      <c r="D887">
        <f>(Prices!D373/Prices!D372)-1</f>
        <v>-1.0134837401956531E-2</v>
      </c>
      <c r="E887">
        <f>(Prices!E373/Prices!E372)-1</f>
        <v>-9.9550552358550481E-3</v>
      </c>
      <c r="F887">
        <f>(Prices!F373/Prices!F372)-1</f>
        <v>-1.4720197063906704E-2</v>
      </c>
      <c r="G887">
        <f t="shared" si="52"/>
        <v>-5.5352914592111668E-3</v>
      </c>
      <c r="H887" s="8">
        <f t="shared" si="55"/>
        <v>700600.61142990005</v>
      </c>
      <c r="I887" s="8">
        <f t="shared" si="53"/>
        <v>1067100.1647020529</v>
      </c>
      <c r="J887" s="13">
        <f t="shared" si="54"/>
        <v>-0.34345375007460893</v>
      </c>
    </row>
    <row r="888" spans="1:10" x14ac:dyDescent="0.25">
      <c r="A888" s="5">
        <v>45748</v>
      </c>
      <c r="B888">
        <f>(Prices!B372/Prices!B371)-1</f>
        <v>-1.5480074202008698E-2</v>
      </c>
      <c r="C888">
        <f>(Prices!C372/Prices!C371)-1</f>
        <v>-1.781554426090648E-2</v>
      </c>
      <c r="D888">
        <f>(Prices!D372/Prices!D371)-1</f>
        <v>-8.8051422030466231E-4</v>
      </c>
      <c r="E888">
        <f>(Prices!E372/Prices!E371)-1</f>
        <v>6.7236129905277053E-3</v>
      </c>
      <c r="F888">
        <f>(Prices!F372/Prices!F371)-1</f>
        <v>1.193341156347616E-3</v>
      </c>
      <c r="G888">
        <f t="shared" si="52"/>
        <v>-5.251835707268903E-3</v>
      </c>
      <c r="H888" s="8">
        <f t="shared" si="55"/>
        <v>696921.17212225799</v>
      </c>
      <c r="I888" s="8">
        <f t="shared" si="53"/>
        <v>1067100.1647020529</v>
      </c>
      <c r="J888" s="13">
        <f t="shared" si="54"/>
        <v>-0.34690182311344064</v>
      </c>
    </row>
    <row r="889" spans="1:10" x14ac:dyDescent="0.25">
      <c r="A889" s="6">
        <v>45749</v>
      </c>
      <c r="B889">
        <f>(Prices!B371/Prices!B370)-1</f>
        <v>1.9193857965449368E-4</v>
      </c>
      <c r="C889">
        <f>(Prices!C371/Prices!C370)-1</f>
        <v>1.3237669111232364E-4</v>
      </c>
      <c r="D889">
        <f>(Prices!D371/Prices!D370)-1</f>
        <v>3.0913266207384105E-3</v>
      </c>
      <c r="E889">
        <f>(Prices!E371/Prices!E370)-1</f>
        <v>-8.8020789672228483E-3</v>
      </c>
      <c r="F889">
        <f>(Prices!F371/Prices!F370)-1</f>
        <v>-1.5908684152954322E-4</v>
      </c>
      <c r="G889">
        <f t="shared" si="52"/>
        <v>-1.109104783449433E-3</v>
      </c>
      <c r="H889" s="8">
        <f t="shared" si="55"/>
        <v>696148.21351657005</v>
      </c>
      <c r="I889" s="8">
        <f t="shared" si="53"/>
        <v>1067100.1647020529</v>
      </c>
      <c r="J889" s="13">
        <f t="shared" si="54"/>
        <v>-0.34762617742548763</v>
      </c>
    </row>
    <row r="890" spans="1:10" x14ac:dyDescent="0.25">
      <c r="A890" s="5">
        <v>45750</v>
      </c>
      <c r="B890">
        <f>(Prices!B370/Prices!B369)-1</f>
        <v>4.1930537964135928E-2</v>
      </c>
      <c r="C890">
        <f>(Prices!C370/Prices!C369)-1</f>
        <v>2.4214979120342761E-2</v>
      </c>
      <c r="D890">
        <f>(Prices!D370/Prices!D369)-1</f>
        <v>5.5467511885895382E-2</v>
      </c>
      <c r="E890">
        <f>(Prices!E370/Prices!E369)-1</f>
        <v>7.4926785312007249E-2</v>
      </c>
      <c r="F890">
        <f>(Prices!F370/Prices!F369)-1</f>
        <v>-3.1881100437017418E-2</v>
      </c>
      <c r="G890">
        <f t="shared" si="52"/>
        <v>3.2931742769072785E-2</v>
      </c>
      <c r="H890" s="8">
        <f t="shared" si="55"/>
        <v>719073.58741324721</v>
      </c>
      <c r="I890" s="8">
        <f t="shared" si="53"/>
        <v>1067100.1647020529</v>
      </c>
      <c r="J890" s="13">
        <f t="shared" si="54"/>
        <v>-0.32614237051118711</v>
      </c>
    </row>
    <row r="891" spans="1:10" x14ac:dyDescent="0.25">
      <c r="A891" s="6">
        <v>45751</v>
      </c>
      <c r="B891">
        <f>(Prices!B369/Prices!B368)-1</f>
        <v>3.5122826386972061E-2</v>
      </c>
      <c r="C891">
        <f>(Prices!C369/Prices!C368)-1</f>
        <v>3.6889163808131231E-2</v>
      </c>
      <c r="D891">
        <f>(Prices!D369/Prices!D368)-1</f>
        <v>7.7548970366649872E-2</v>
      </c>
      <c r="E891">
        <f>(Prices!E369/Prices!E368)-1</f>
        <v>8.0890230836661026E-2</v>
      </c>
      <c r="F891">
        <f>(Prices!F369/Prices!F368)-1</f>
        <v>2.9308021559923736E-2</v>
      </c>
      <c r="G891">
        <f t="shared" si="52"/>
        <v>5.1951842591667588E-2</v>
      </c>
      <c r="H891" s="8">
        <f t="shared" si="55"/>
        <v>756430.78523836599</v>
      </c>
      <c r="I891" s="8">
        <f t="shared" si="53"/>
        <v>1067100.1647020529</v>
      </c>
      <c r="J891" s="13">
        <f t="shared" si="54"/>
        <v>-0.29113422501479003</v>
      </c>
    </row>
    <row r="892" spans="1:10" x14ac:dyDescent="0.25">
      <c r="A892" s="5">
        <v>45754</v>
      </c>
      <c r="B892">
        <f>(Prices!B368/Prices!B367)-1</f>
        <v>-7.8050116390525615E-3</v>
      </c>
      <c r="C892">
        <f>(Prices!C368/Prices!C367)-1</f>
        <v>5.5129908682254314E-3</v>
      </c>
      <c r="D892">
        <f>(Prices!D368/Prices!D367)-1</f>
        <v>1.3644231748294544E-2</v>
      </c>
      <c r="E892">
        <f>(Prices!E368/Prices!E367)-1</f>
        <v>-1.9435557041211027E-2</v>
      </c>
      <c r="F892">
        <f>(Prices!F368/Prices!F367)-1</f>
        <v>6.5435942178426743E-4</v>
      </c>
      <c r="G892">
        <f t="shared" si="52"/>
        <v>-1.4857973283918691E-3</v>
      </c>
      <c r="H892" s="8">
        <f t="shared" si="55"/>
        <v>755306.88239854551</v>
      </c>
      <c r="I892" s="8">
        <f t="shared" si="53"/>
        <v>1067100.1647020529</v>
      </c>
      <c r="J892" s="13">
        <f t="shared" si="54"/>
        <v>-0.29218745588945144</v>
      </c>
    </row>
    <row r="893" spans="1:10" x14ac:dyDescent="0.25">
      <c r="A893" s="6">
        <v>45755</v>
      </c>
      <c r="B893">
        <f>(Prices!B367/Prices!B366)-1</f>
        <v>1.4164699347312792E-2</v>
      </c>
      <c r="C893">
        <f>(Prices!C367/Prices!C366)-1</f>
        <v>9.302325581395321E-3</v>
      </c>
      <c r="D893">
        <f>(Prices!D367/Prices!D366)-1</f>
        <v>2.1531100478468845E-2</v>
      </c>
      <c r="E893">
        <f>(Prices!E367/Prices!E366)-1</f>
        <v>-1.1190858438001716E-2</v>
      </c>
      <c r="F893">
        <f>(Prices!F367/Prices!F366)-1</f>
        <v>-5.1299898416042766E-2</v>
      </c>
      <c r="G893">
        <f t="shared" si="52"/>
        <v>-3.4985262893735061E-3</v>
      </c>
      <c r="H893" s="8">
        <f t="shared" si="55"/>
        <v>752664.42141392943</v>
      </c>
      <c r="I893" s="8">
        <f t="shared" si="53"/>
        <v>1067100.1647020529</v>
      </c>
      <c r="J893" s="13">
        <f t="shared" si="54"/>
        <v>-0.29466375668297051</v>
      </c>
    </row>
    <row r="894" spans="1:10" x14ac:dyDescent="0.25">
      <c r="A894" s="5">
        <v>45756</v>
      </c>
      <c r="B894">
        <f>(Prices!B366/Prices!B365)-1</f>
        <v>-8.8307906564537464E-2</v>
      </c>
      <c r="C894">
        <f>(Prices!C366/Prices!C365)-1</f>
        <v>-9.2004352782671717E-2</v>
      </c>
      <c r="D894">
        <f>(Prices!D366/Prices!D365)-1</f>
        <v>-4.7553001783237514E-2</v>
      </c>
      <c r="E894">
        <f>(Prices!E366/Prices!E365)-1</f>
        <v>-7.4549903862961009E-2</v>
      </c>
      <c r="F894">
        <f>(Prices!F366/Prices!F365)-1</f>
        <v>-4.3955253408150652E-2</v>
      </c>
      <c r="G894">
        <f t="shared" si="52"/>
        <v>-6.9274083680311668E-2</v>
      </c>
      <c r="H894" s="8">
        <f t="shared" si="55"/>
        <v>700524.28330170759</v>
      </c>
      <c r="I894" s="8">
        <f t="shared" si="53"/>
        <v>1067100.1647020529</v>
      </c>
      <c r="J894" s="13">
        <f t="shared" si="54"/>
        <v>-0.34352527862527105</v>
      </c>
    </row>
    <row r="895" spans="1:10" x14ac:dyDescent="0.25">
      <c r="A895" s="6">
        <v>45757</v>
      </c>
      <c r="B895">
        <f>(Prices!B365/Prices!B364)-1</f>
        <v>3.8593030900723191E-2</v>
      </c>
      <c r="C895">
        <f>(Prices!C365/Prices!C364)-1</f>
        <v>2.395670283607032E-2</v>
      </c>
      <c r="D895">
        <f>(Prices!D365/Prices!D364)-1</f>
        <v>5.8737151248164476E-2</v>
      </c>
      <c r="E895">
        <f>(Prices!E365/Prices!E364)-1</f>
        <v>3.1833348363242919E-2</v>
      </c>
      <c r="F895">
        <f>(Prices!F365/Prices!F364)-1</f>
        <v>-2.674601785401709E-2</v>
      </c>
      <c r="G895">
        <f t="shared" si="52"/>
        <v>2.5274843098836763E-2</v>
      </c>
      <c r="H895" s="8">
        <f t="shared" si="55"/>
        <v>718229.92464908329</v>
      </c>
      <c r="I895" s="8">
        <f t="shared" si="53"/>
        <v>1067100.1647020529</v>
      </c>
      <c r="J895" s="13">
        <f t="shared" si="54"/>
        <v>-0.32693298304417223</v>
      </c>
    </row>
    <row r="896" spans="1:10" x14ac:dyDescent="0.25">
      <c r="A896" s="5">
        <v>45758</v>
      </c>
      <c r="B896">
        <f>(Prices!B364/Prices!B363)-1</f>
        <v>-2.7493606138107474E-2</v>
      </c>
      <c r="C896">
        <f>(Prices!C364/Prices!C363)-1</f>
        <v>-1.8258061155388861E-2</v>
      </c>
      <c r="D896">
        <f>(Prices!D364/Prices!D363)-1</f>
        <v>-3.1097560975609784E-2</v>
      </c>
      <c r="E896">
        <f>(Prices!E364/Prices!E363)-1</f>
        <v>-3.8456535876869702E-2</v>
      </c>
      <c r="F896">
        <f>(Prices!F364/Prices!F363)-1</f>
        <v>-8.452366489057006E-3</v>
      </c>
      <c r="G896">
        <f t="shared" si="52"/>
        <v>-2.4751626127006567E-2</v>
      </c>
      <c r="H896" s="8">
        <f t="shared" si="55"/>
        <v>700452.56608094112</v>
      </c>
      <c r="I896" s="8">
        <f t="shared" si="53"/>
        <v>1067100.1647020529</v>
      </c>
      <c r="J896" s="13">
        <f t="shared" si="54"/>
        <v>-0.34359248620628241</v>
      </c>
    </row>
    <row r="897" spans="1:10" x14ac:dyDescent="0.25">
      <c r="A897" s="6">
        <v>45761</v>
      </c>
      <c r="B897">
        <f>(Prices!B363/Prices!B362)-1</f>
        <v>-1.2127337038908448E-2</v>
      </c>
      <c r="C897">
        <f>(Prices!C363/Prices!C362)-1</f>
        <v>1.6435783047663577E-3</v>
      </c>
      <c r="D897">
        <f>(Prices!D363/Prices!D362)-1</f>
        <v>-2.4330900243308973E-3</v>
      </c>
      <c r="E897">
        <f>(Prices!E363/Prices!E362)-1</f>
        <v>6.2824484097552258E-3</v>
      </c>
      <c r="F897">
        <f>(Prices!F363/Prices!F362)-1</f>
        <v>2.1143485041826171E-2</v>
      </c>
      <c r="G897">
        <f t="shared" si="52"/>
        <v>2.9018169386216828E-3</v>
      </c>
      <c r="H897" s="8">
        <f t="shared" si="55"/>
        <v>702485.15120189579</v>
      </c>
      <c r="I897" s="8">
        <f t="shared" si="53"/>
        <v>1067100.1647020529</v>
      </c>
      <c r="J897" s="13">
        <f t="shared" si="54"/>
        <v>-0.34168771176411727</v>
      </c>
    </row>
    <row r="898" spans="1:10" x14ac:dyDescent="0.25">
      <c r="A898" s="5">
        <v>45762</v>
      </c>
      <c r="B898">
        <f>(Prices!B362/Prices!B361)-1</f>
        <v>1.761151818999851E-2</v>
      </c>
      <c r="C898">
        <f>(Prices!C362/Prices!C361)-1</f>
        <v>5.4032786885245265E-3</v>
      </c>
      <c r="D898">
        <f>(Prices!D362/Prices!D361)-1</f>
        <v>2.7447392497712553E-3</v>
      </c>
      <c r="E898">
        <f>(Prices!E362/Prices!E361)-1</f>
        <v>6.8083984889748539E-3</v>
      </c>
      <c r="F898">
        <f>(Prices!F362/Prices!F361)-1</f>
        <v>5.9367813018131876E-3</v>
      </c>
      <c r="G898">
        <f t="shared" ref="G898:G961" si="56">B898*20%+C898*20%+D898*20%+E898*20%+F898*20%</f>
        <v>7.7009431838164664E-3</v>
      </c>
      <c r="H898" s="8">
        <f t="shared" si="55"/>
        <v>707894.94943877624</v>
      </c>
      <c r="I898" s="8">
        <f t="shared" ref="I898:I961" si="57">MAX(I897,H898)</f>
        <v>1067100.1647020529</v>
      </c>
      <c r="J898" s="13">
        <f t="shared" ref="J898:J961" si="58">(H898-I898)/I898</f>
        <v>-0.33661808623520462</v>
      </c>
    </row>
    <row r="899" spans="1:10" x14ac:dyDescent="0.25">
      <c r="A899" s="6">
        <v>45763</v>
      </c>
      <c r="B899">
        <f>(Prices!B361/Prices!B360)-1</f>
        <v>1.9461372125024523E-2</v>
      </c>
      <c r="C899">
        <f>(Prices!C361/Prices!C360)-1</f>
        <v>3.7979852981214313E-2</v>
      </c>
      <c r="D899">
        <f>(Prices!D361/Prices!D360)-1</f>
        <v>-1.046172417261837E-2</v>
      </c>
      <c r="E899">
        <f>(Prices!E361/Prices!E360)-1</f>
        <v>1.53420747480153E-2</v>
      </c>
      <c r="F899">
        <f>(Prices!F361/Prices!F360)-1</f>
        <v>-2.4719900409033713E-3</v>
      </c>
      <c r="G899">
        <f t="shared" si="56"/>
        <v>1.196991712814648E-2</v>
      </c>
      <c r="H899" s="8">
        <f t="shared" si="55"/>
        <v>716368.39331899176</v>
      </c>
      <c r="I899" s="8">
        <f t="shared" si="57"/>
        <v>1067100.1647020529</v>
      </c>
      <c r="J899" s="13">
        <f t="shared" si="58"/>
        <v>-0.32867745970312889</v>
      </c>
    </row>
    <row r="900" spans="1:10" x14ac:dyDescent="0.25">
      <c r="A900" s="5">
        <v>45764</v>
      </c>
      <c r="B900">
        <f>(Prices!B360/Prices!B359)-1</f>
        <v>1.435692921236309E-2</v>
      </c>
      <c r="C900">
        <f>(Prices!C360/Prices!C359)-1</f>
        <v>1.0426123077769578E-2</v>
      </c>
      <c r="D900">
        <f>(Prices!D360/Prices!D359)-1</f>
        <v>-2.5487697284580002E-2</v>
      </c>
      <c r="E900">
        <f>(Prices!E360/Prices!E359)-1</f>
        <v>-1.0109928921460343E-2</v>
      </c>
      <c r="F900">
        <f>(Prices!F360/Prices!F359)-1</f>
        <v>0.28831966274114462</v>
      </c>
      <c r="G900">
        <f t="shared" si="56"/>
        <v>5.5501017765047393E-2</v>
      </c>
      <c r="H900" s="8">
        <f t="shared" ref="H900:H963" si="59">H899*(1+G900)</f>
        <v>756127.56824290764</v>
      </c>
      <c r="I900" s="8">
        <f t="shared" si="57"/>
        <v>1067100.1647020529</v>
      </c>
      <c r="J900" s="13">
        <f t="shared" si="58"/>
        <v>-0.29141837546803545</v>
      </c>
    </row>
    <row r="901" spans="1:10" x14ac:dyDescent="0.25">
      <c r="A901" s="6">
        <v>45768</v>
      </c>
      <c r="B901">
        <f>(Prices!B359/Prices!B358)-1</f>
        <v>2.3608654238671978E-2</v>
      </c>
      <c r="C901">
        <f>(Prices!C359/Prices!C358)-1</f>
        <v>2.4116072686293899E-2</v>
      </c>
      <c r="D901">
        <f>(Prices!D359/Prices!D358)-1</f>
        <v>1.4923888170331301E-2</v>
      </c>
      <c r="E901">
        <f>(Prices!E359/Prices!E358)-1</f>
        <v>1.2969008541657168E-2</v>
      </c>
      <c r="F901">
        <f>(Prices!F359/Prices!F358)-1</f>
        <v>6.7661448140900138E-2</v>
      </c>
      <c r="G901">
        <f t="shared" si="56"/>
        <v>2.8655814355570897E-2</v>
      </c>
      <c r="H901" s="8">
        <f t="shared" si="59"/>
        <v>777795.01946760563</v>
      </c>
      <c r="I901" s="8">
        <f t="shared" si="57"/>
        <v>1067100.1647020529</v>
      </c>
      <c r="J901" s="13">
        <f t="shared" si="58"/>
        <v>-0.27111339197967865</v>
      </c>
    </row>
    <row r="902" spans="1:10" x14ac:dyDescent="0.25">
      <c r="A902" s="5">
        <v>45769</v>
      </c>
      <c r="B902">
        <f>(Prices!B358/Prices!B357)-1</f>
        <v>-2.5072963650835778E-2</v>
      </c>
      <c r="C902">
        <f>(Prices!C358/Prices!C357)-1</f>
        <v>-2.0989629302736179E-2</v>
      </c>
      <c r="D902">
        <f>(Prices!D358/Prices!D357)-1</f>
        <v>-2.7291202942030357E-2</v>
      </c>
      <c r="E902">
        <f>(Prices!E358/Prices!E357)-1</f>
        <v>-2.8036164478831505E-2</v>
      </c>
      <c r="F902">
        <f>(Prices!F358/Prices!F357)-1</f>
        <v>-4.3353305080616744E-3</v>
      </c>
      <c r="G902">
        <f t="shared" si="56"/>
        <v>-2.1145058176499101E-2</v>
      </c>
      <c r="H902" s="8">
        <f t="shared" si="59"/>
        <v>761348.49853157182</v>
      </c>
      <c r="I902" s="8">
        <f t="shared" si="57"/>
        <v>1067100.1647020529</v>
      </c>
      <c r="J902" s="13">
        <f t="shared" si="58"/>
        <v>-0.28652574171033945</v>
      </c>
    </row>
    <row r="903" spans="1:10" x14ac:dyDescent="0.25">
      <c r="A903" s="6">
        <v>45770</v>
      </c>
      <c r="B903">
        <f>(Prices!B357/Prices!B356)-1</f>
        <v>-2.4964428922519821E-2</v>
      </c>
      <c r="C903">
        <f>(Prices!C357/Prices!C356)-1</f>
        <v>-2.0240508039454097E-2</v>
      </c>
      <c r="D903">
        <f>(Prices!D357/Prices!D356)-1</f>
        <v>8.6880124951191906E-3</v>
      </c>
      <c r="E903">
        <f>(Prices!E357/Prices!E356)-1</f>
        <v>-2.1978489138290147E-2</v>
      </c>
      <c r="F903">
        <f>(Prices!F357/Prices!F356)-1</f>
        <v>-1.8233535117788691E-3</v>
      </c>
      <c r="G903">
        <f t="shared" si="56"/>
        <v>-1.2063753423384749E-2</v>
      </c>
      <c r="H903" s="8">
        <f t="shared" si="59"/>
        <v>752163.7779760228</v>
      </c>
      <c r="I903" s="8">
        <f t="shared" si="57"/>
        <v>1067100.1647020529</v>
      </c>
      <c r="J903" s="13">
        <f t="shared" si="58"/>
        <v>-0.29513291923627821</v>
      </c>
    </row>
    <row r="904" spans="1:10" x14ac:dyDescent="0.25">
      <c r="A904" s="5">
        <v>45771</v>
      </c>
      <c r="B904">
        <f>(Prices!B356/Prices!B355)-1</f>
        <v>-2.4664101431905561E-2</v>
      </c>
      <c r="C904">
        <f>(Prices!C356/Prices!C355)-1</f>
        <v>-3.3332462579347411E-2</v>
      </c>
      <c r="D904">
        <f>(Prices!D356/Prices!D355)-1</f>
        <v>-1.157854110382095E-2</v>
      </c>
      <c r="E904">
        <f>(Prices!E356/Prices!E355)-1</f>
        <v>-1.5362076182503182E-2</v>
      </c>
      <c r="F904">
        <f>(Prices!F356/Prices!F355)-1</f>
        <v>8.7551500882872002E-3</v>
      </c>
      <c r="G904">
        <f t="shared" si="56"/>
        <v>-1.5236406241857981E-2</v>
      </c>
      <c r="H904" s="8">
        <f t="shared" si="59"/>
        <v>740703.50509436941</v>
      </c>
      <c r="I904" s="8">
        <f t="shared" si="57"/>
        <v>1067100.1647020529</v>
      </c>
      <c r="J904" s="13">
        <f t="shared" si="58"/>
        <v>-0.30587256042530681</v>
      </c>
    </row>
    <row r="905" spans="1:10" x14ac:dyDescent="0.25">
      <c r="A905" s="6">
        <v>45772</v>
      </c>
      <c r="B905">
        <f>(Prices!B355/Prices!B354)-1</f>
        <v>-1.6563275434243074E-2</v>
      </c>
      <c r="C905">
        <f>(Prices!C355/Prices!C354)-1</f>
        <v>-1.1593080299509451E-2</v>
      </c>
      <c r="D905">
        <f>(Prices!D355/Prices!D354)-1</f>
        <v>4.8267207259389266E-4</v>
      </c>
      <c r="E905">
        <f>(Prices!E355/Prices!E354)-1</f>
        <v>4.4990118992558337E-3</v>
      </c>
      <c r="F905">
        <f>(Prices!F355/Prices!F354)-1</f>
        <v>1.339563088699447E-2</v>
      </c>
      <c r="G905">
        <f t="shared" si="56"/>
        <v>-1.9558081749816657E-3</v>
      </c>
      <c r="H905" s="8">
        <f t="shared" si="59"/>
        <v>739254.83112386824</v>
      </c>
      <c r="I905" s="8">
        <f t="shared" si="57"/>
        <v>1067100.1647020529</v>
      </c>
      <c r="J905" s="13">
        <f t="shared" si="58"/>
        <v>-0.30723014054610609</v>
      </c>
    </row>
    <row r="906" spans="1:10" x14ac:dyDescent="0.25">
      <c r="A906" s="5">
        <v>45775</v>
      </c>
      <c r="B906">
        <f>(Prices!B354/Prices!B353)-1</f>
        <v>8.3823345427247453E-3</v>
      </c>
      <c r="C906">
        <f>(Prices!C354/Prices!C353)-1</f>
        <v>1.758832962599044E-3</v>
      </c>
      <c r="D906">
        <f>(Prices!D354/Prices!D353)-1</f>
        <v>-4.8243921265922474E-4</v>
      </c>
      <c r="E906">
        <f>(Prices!E354/Prices!E353)-1</f>
        <v>1.347311692139419E-3</v>
      </c>
      <c r="F906">
        <f>(Prices!F354/Prices!F353)-1</f>
        <v>-3.2451446690447971E-3</v>
      </c>
      <c r="G906">
        <f t="shared" si="56"/>
        <v>1.5521790631518372E-3</v>
      </c>
      <c r="H906" s="8">
        <f t="shared" si="59"/>
        <v>740402.28699507262</v>
      </c>
      <c r="I906" s="8">
        <f t="shared" si="57"/>
        <v>1067100.1647020529</v>
      </c>
      <c r="J906" s="13">
        <f t="shared" si="58"/>
        <v>-0.3061548376746791</v>
      </c>
    </row>
    <row r="907" spans="1:10" x14ac:dyDescent="0.25">
      <c r="A907" s="6">
        <v>45776</v>
      </c>
      <c r="B907">
        <f>(Prices!B353/Prices!B352)-1</f>
        <v>2.8229094787028952E-3</v>
      </c>
      <c r="C907">
        <f>(Prices!C353/Prices!C352)-1</f>
        <v>-7.3176367884562055E-3</v>
      </c>
      <c r="D907">
        <f>(Prices!D353/Prices!D352)-1</f>
        <v>2.5149932288643928E-3</v>
      </c>
      <c r="E907">
        <f>(Prices!E353/Prices!E352)-1</f>
        <v>-5.7350971198928402E-3</v>
      </c>
      <c r="F907">
        <f>(Prices!F353/Prices!F352)-1</f>
        <v>2.633987592799758E-2</v>
      </c>
      <c r="G907">
        <f t="shared" si="56"/>
        <v>3.725008945443164E-3</v>
      </c>
      <c r="H907" s="8">
        <f t="shared" si="59"/>
        <v>743160.29213735589</v>
      </c>
      <c r="I907" s="8">
        <f t="shared" si="57"/>
        <v>1067100.1647020529</v>
      </c>
      <c r="J907" s="13">
        <f t="shared" si="58"/>
        <v>-0.30357025823826472</v>
      </c>
    </row>
    <row r="908" spans="1:10" x14ac:dyDescent="0.25">
      <c r="A908" s="5">
        <v>45777</v>
      </c>
      <c r="B908">
        <f>(Prices!B352/Prices!B351)-1</f>
        <v>8.5410603568265575E-3</v>
      </c>
      <c r="C908">
        <f>(Prices!C352/Prices!C351)-1</f>
        <v>-3.0716461463639044E-3</v>
      </c>
      <c r="D908">
        <f>(Prices!D352/Prices!D351)-1</f>
        <v>2.5798769597142224E-2</v>
      </c>
      <c r="E908">
        <f>(Prices!E352/Prices!E351)-1</f>
        <v>0</v>
      </c>
      <c r="F908">
        <f>(Prices!F352/Prices!F351)-1</f>
        <v>-5.3862688076874443E-3</v>
      </c>
      <c r="G908">
        <f t="shared" si="56"/>
        <v>5.1763829999834877E-3</v>
      </c>
      <c r="H908" s="8">
        <f t="shared" si="59"/>
        <v>747007.17443983851</v>
      </c>
      <c r="I908" s="8">
        <f t="shared" si="57"/>
        <v>1067100.1647020529</v>
      </c>
      <c r="J908" s="13">
        <f t="shared" si="58"/>
        <v>-0.29996527116232635</v>
      </c>
    </row>
    <row r="909" spans="1:10" x14ac:dyDescent="0.25">
      <c r="A909" s="6">
        <v>45778</v>
      </c>
      <c r="B909">
        <f>(Prices!B351/Prices!B350)-1</f>
        <v>-1.5447863460819722E-2</v>
      </c>
      <c r="C909">
        <f>(Prices!C351/Prices!C350)-1</f>
        <v>-7.0850972744137319E-2</v>
      </c>
      <c r="D909">
        <f>(Prices!D351/Prices!D350)-1</f>
        <v>-1.3872374157748446E-3</v>
      </c>
      <c r="E909">
        <f>(Prices!E351/Prices!E350)-1</f>
        <v>-9.1667012319051056E-3</v>
      </c>
      <c r="F909">
        <f>(Prices!F351/Prices!F350)-1</f>
        <v>2.6849471579548645E-2</v>
      </c>
      <c r="G909">
        <f t="shared" si="56"/>
        <v>-1.4000660654617671E-2</v>
      </c>
      <c r="H909" s="8">
        <f t="shared" si="59"/>
        <v>736548.58048394148</v>
      </c>
      <c r="I909" s="8">
        <f t="shared" si="57"/>
        <v>1067100.1647020529</v>
      </c>
      <c r="J909" s="13">
        <f t="shared" si="58"/>
        <v>-0.30976621984723002</v>
      </c>
    </row>
    <row r="910" spans="1:10" x14ac:dyDescent="0.25">
      <c r="A910" s="5">
        <v>45779</v>
      </c>
      <c r="B910">
        <f>(Prices!B350/Prices!B349)-1</f>
        <v>-1.6660541467597656E-2</v>
      </c>
      <c r="C910">
        <f>(Prices!C350/Prices!C349)-1</f>
        <v>-2.2708783673848987E-2</v>
      </c>
      <c r="D910">
        <f>(Prices!D350/Prices!D349)-1</f>
        <v>-4.0461857297937609E-3</v>
      </c>
      <c r="E910">
        <f>(Prices!E350/Prices!E349)-1</f>
        <v>-2.2264579446832689E-2</v>
      </c>
      <c r="F910">
        <f>(Prices!F350/Prices!F349)-1</f>
        <v>1.8991622873198999E-3</v>
      </c>
      <c r="G910">
        <f t="shared" si="56"/>
        <v>-1.275618560615064E-2</v>
      </c>
      <c r="H910" s="8">
        <f t="shared" si="59"/>
        <v>727153.03008334152</v>
      </c>
      <c r="I910" s="8">
        <f t="shared" si="57"/>
        <v>1067100.1647020529</v>
      </c>
      <c r="J910" s="13">
        <f t="shared" si="58"/>
        <v>-0.31857097005849372</v>
      </c>
    </row>
    <row r="911" spans="1:10" x14ac:dyDescent="0.25">
      <c r="A911" s="6">
        <v>45782</v>
      </c>
      <c r="B911">
        <f>(Prices!B349/Prices!B348)-1</f>
        <v>-1.1013215859031478E-3</v>
      </c>
      <c r="C911">
        <f>(Prices!C349/Prices!C348)-1</f>
        <v>-2.0412423743360053E-3</v>
      </c>
      <c r="D911">
        <f>(Prices!D349/Prices!D348)-1</f>
        <v>2.8417740789607127E-2</v>
      </c>
      <c r="E911">
        <f>(Prices!E349/Prices!E348)-1</f>
        <v>-2.027328386651206E-4</v>
      </c>
      <c r="F911">
        <f>(Prices!F349/Prices!F348)-1</f>
        <v>-1.207977793769921E-2</v>
      </c>
      <c r="G911">
        <f t="shared" si="56"/>
        <v>2.5985332106007288E-3</v>
      </c>
      <c r="H911" s="8">
        <f t="shared" si="59"/>
        <v>729042.56138120196</v>
      </c>
      <c r="I911" s="8">
        <f t="shared" si="57"/>
        <v>1067100.1647020529</v>
      </c>
      <c r="J911" s="13">
        <f t="shared" si="58"/>
        <v>-0.31680025409352336</v>
      </c>
    </row>
    <row r="912" spans="1:10" x14ac:dyDescent="0.25">
      <c r="A912" s="5">
        <v>45783</v>
      </c>
      <c r="B912">
        <f>(Prices!B348/Prices!B347)-1</f>
        <v>6.0322540933153146E-3</v>
      </c>
      <c r="C912">
        <f>(Prices!C348/Prices!C347)-1</f>
        <v>6.6078266554592258E-3</v>
      </c>
      <c r="D912">
        <f>(Prices!D348/Prices!D347)-1</f>
        <v>-1.3713713713713771E-2</v>
      </c>
      <c r="E912">
        <f>(Prices!E348/Prices!E347)-1</f>
        <v>1.32703368940017E-2</v>
      </c>
      <c r="F912">
        <f>(Prices!F348/Prices!F347)-1</f>
        <v>2.6108971992193641E-2</v>
      </c>
      <c r="G912">
        <f t="shared" si="56"/>
        <v>7.6611351842512223E-3</v>
      </c>
      <c r="H912" s="8">
        <f t="shared" si="59"/>
        <v>734627.85499901616</v>
      </c>
      <c r="I912" s="8">
        <f t="shared" si="57"/>
        <v>1067100.1647020529</v>
      </c>
      <c r="J912" s="13">
        <f t="shared" si="58"/>
        <v>-0.31156616848228769</v>
      </c>
    </row>
    <row r="913" spans="1:10" x14ac:dyDescent="0.25">
      <c r="A913" s="6">
        <v>45784</v>
      </c>
      <c r="B913">
        <f>(Prices!B347/Prices!B346)-1</f>
        <v>7.8250481184044762E-2</v>
      </c>
      <c r="C913">
        <f>(Prices!C347/Prices!C346)-1</f>
        <v>-9.3388121031101612E-5</v>
      </c>
      <c r="D913">
        <f>(Prices!D347/Prices!D346)-1</f>
        <v>9.0171325518495493E-4</v>
      </c>
      <c r="E913">
        <f>(Prices!E347/Prices!E346)-1</f>
        <v>-5.7485423339076469E-4</v>
      </c>
      <c r="F913">
        <f>(Prices!F347/Prices!F346)-1</f>
        <v>8.8330761453732087E-3</v>
      </c>
      <c r="G913">
        <f t="shared" si="56"/>
        <v>1.7463405646036212E-2</v>
      </c>
      <c r="H913" s="8">
        <f t="shared" si="59"/>
        <v>747456.95922974136</v>
      </c>
      <c r="I913" s="8">
        <f t="shared" si="57"/>
        <v>1067100.1647020529</v>
      </c>
      <c r="J913" s="13">
        <f t="shared" si="58"/>
        <v>-0.29954376922203901</v>
      </c>
    </row>
    <row r="914" spans="1:10" x14ac:dyDescent="0.25">
      <c r="A914" s="5">
        <v>45785</v>
      </c>
      <c r="B914">
        <f>(Prices!B346/Prices!B345)-1</f>
        <v>-1.8820005209690072E-2</v>
      </c>
      <c r="C914">
        <f>(Prices!C346/Prices!C345)-1</f>
        <v>-1.1013877023251517E-2</v>
      </c>
      <c r="D914">
        <f>(Prices!D346/Prices!D345)-1</f>
        <v>-1.3735177865612624E-2</v>
      </c>
      <c r="E914">
        <f>(Prices!E346/Prices!E345)-1</f>
        <v>-1.6079508726567604E-2</v>
      </c>
      <c r="F914">
        <f>(Prices!F346/Prices!F345)-1</f>
        <v>1.4275305610276012E-2</v>
      </c>
      <c r="G914">
        <f t="shared" si="56"/>
        <v>-9.074652642969163E-3</v>
      </c>
      <c r="H914" s="8">
        <f t="shared" si="59"/>
        <v>740674.04695916153</v>
      </c>
      <c r="I914" s="8">
        <f t="shared" si="57"/>
        <v>1067100.1647020529</v>
      </c>
      <c r="J914" s="13">
        <f t="shared" si="58"/>
        <v>-0.30590016620795246</v>
      </c>
    </row>
    <row r="915" spans="1:10" x14ac:dyDescent="0.25">
      <c r="A915" s="6">
        <v>45786</v>
      </c>
      <c r="B915">
        <f>(Prices!B345/Prices!B344)-1</f>
        <v>1.0063803196737497E-2</v>
      </c>
      <c r="C915">
        <f>(Prices!C345/Prices!C344)-1</f>
        <v>-1.2683331795959596E-3</v>
      </c>
      <c r="D915">
        <f>(Prices!D345/Prices!D344)-1</f>
        <v>-1.1525688611056739E-2</v>
      </c>
      <c r="E915">
        <f>(Prices!E345/Prices!E344)-1</f>
        <v>1.5375900299425815E-3</v>
      </c>
      <c r="F915">
        <f>(Prices!F345/Prices!F344)-1</f>
        <v>1.2901462347956638E-2</v>
      </c>
      <c r="G915">
        <f t="shared" si="56"/>
        <v>2.3417667567968035E-3</v>
      </c>
      <c r="H915" s="8">
        <f t="shared" si="59"/>
        <v>742408.5328199527</v>
      </c>
      <c r="I915" s="8">
        <f t="shared" si="57"/>
        <v>1067100.1647020529</v>
      </c>
      <c r="J915" s="13">
        <f t="shared" si="58"/>
        <v>-0.30427474629127998</v>
      </c>
    </row>
    <row r="916" spans="1:10" x14ac:dyDescent="0.25">
      <c r="A916" s="5">
        <v>45789</v>
      </c>
      <c r="B916">
        <f>(Prices!B344/Prices!B343)-1</f>
        <v>-3.6076591427846805E-2</v>
      </c>
      <c r="C916">
        <f>(Prices!C344/Prices!C343)-1</f>
        <v>-2.3443305934016445E-2</v>
      </c>
      <c r="D916">
        <f>(Prices!D344/Prices!D343)-1</f>
        <v>-1.6994719155064897E-2</v>
      </c>
      <c r="E916">
        <f>(Prices!E344/Prices!E343)-1</f>
        <v>-2.6816302421736604E-2</v>
      </c>
      <c r="F916">
        <f>(Prices!F344/Prices!F343)-1</f>
        <v>4.9995879460484893E-3</v>
      </c>
      <c r="G916">
        <f t="shared" si="56"/>
        <v>-1.9666266198523252E-2</v>
      </c>
      <c r="H916" s="8">
        <f t="shared" si="59"/>
        <v>727808.12898546038</v>
      </c>
      <c r="I916" s="8">
        <f t="shared" si="57"/>
        <v>1067100.1647020529</v>
      </c>
      <c r="J916" s="13">
        <f t="shared" si="58"/>
        <v>-0.31795706433175086</v>
      </c>
    </row>
    <row r="917" spans="1:10" x14ac:dyDescent="0.25">
      <c r="A917" s="6">
        <v>45790</v>
      </c>
      <c r="B917">
        <f>(Prices!B343/Prices!B342)-1</f>
        <v>-6.6759037662174059E-3</v>
      </c>
      <c r="C917">
        <f>(Prices!C343/Prices!C342)-1</f>
        <v>2.7031288716683477E-4</v>
      </c>
      <c r="D917">
        <f>(Prices!D343/Prices!D342)-1</f>
        <v>-2.6812218711098623E-3</v>
      </c>
      <c r="E917">
        <f>(Prices!E343/Prices!E342)-1</f>
        <v>-1.1252141410995065E-2</v>
      </c>
      <c r="F917">
        <f>(Prices!F343/Prices!F342)-1</f>
        <v>0.2163525795241914</v>
      </c>
      <c r="G917">
        <f t="shared" si="56"/>
        <v>3.9202725072607185E-2</v>
      </c>
      <c r="H917" s="8">
        <f t="shared" si="59"/>
        <v>756340.19097168604</v>
      </c>
      <c r="I917" s="8">
        <f t="shared" si="57"/>
        <v>1067100.1647020529</v>
      </c>
      <c r="J917" s="13">
        <f t="shared" si="58"/>
        <v>-0.29121912263703453</v>
      </c>
    </row>
    <row r="918" spans="1:10" x14ac:dyDescent="0.25">
      <c r="A918" s="5">
        <v>45791</v>
      </c>
      <c r="B918">
        <f>(Prices!B342/Prices!B341)-1</f>
        <v>-3.5299835956011938E-2</v>
      </c>
      <c r="C918">
        <f>(Prices!C342/Prices!C341)-1</f>
        <v>-8.3765189421014519E-3</v>
      </c>
      <c r="D918">
        <f>(Prices!D342/Prices!D341)-1</f>
        <v>8.9855072463769226E-3</v>
      </c>
      <c r="E918">
        <f>(Prices!E342/Prices!E341)-1</f>
        <v>-9.8689282960678915E-3</v>
      </c>
      <c r="F918">
        <f>(Prices!F342/Prices!F341)-1</f>
        <v>1.0944466963923594E-2</v>
      </c>
      <c r="G918">
        <f t="shared" si="56"/>
        <v>-6.7230617967761527E-3</v>
      </c>
      <c r="H918" s="8">
        <f t="shared" si="59"/>
        <v>751255.26912839792</v>
      </c>
      <c r="I918" s="8">
        <f t="shared" si="57"/>
        <v>1067100.1647020529</v>
      </c>
      <c r="J918" s="13">
        <f t="shared" si="58"/>
        <v>-0.29598430027591899</v>
      </c>
    </row>
    <row r="919" spans="1:10" x14ac:dyDescent="0.25">
      <c r="A919" s="6">
        <v>45792</v>
      </c>
      <c r="B919">
        <f>(Prices!B341/Prices!B340)-1</f>
        <v>8.5789570439365193E-3</v>
      </c>
      <c r="C919">
        <f>(Prices!C341/Prices!C340)-1</f>
        <v>-2.2509973478347378E-3</v>
      </c>
      <c r="D919">
        <f>(Prices!D341/Prices!D340)-1</f>
        <v>-1.0043041606886627E-2</v>
      </c>
      <c r="E919">
        <f>(Prices!E341/Prices!E340)-1</f>
        <v>-6.9292906090885342E-3</v>
      </c>
      <c r="F919">
        <f>(Prices!F341/Prices!F340)-1</f>
        <v>0.12268193712313713</v>
      </c>
      <c r="G919">
        <f t="shared" si="56"/>
        <v>2.2407512920652749E-2</v>
      </c>
      <c r="H919" s="8">
        <f t="shared" si="59"/>
        <v>768089.03127810091</v>
      </c>
      <c r="I919" s="8">
        <f t="shared" si="57"/>
        <v>1067100.1647020529</v>
      </c>
      <c r="J919" s="13">
        <f t="shared" si="58"/>
        <v>-0.28020905938800927</v>
      </c>
    </row>
    <row r="920" spans="1:10" x14ac:dyDescent="0.25">
      <c r="A920" s="5">
        <v>45793</v>
      </c>
      <c r="B920">
        <f>(Prices!B340/Prices!B339)-1</f>
        <v>-1.3421195816456066E-2</v>
      </c>
      <c r="C920">
        <f>(Prices!C340/Prices!C339)-1</f>
        <v>-2.512115957494121E-3</v>
      </c>
      <c r="D920">
        <f>(Prices!D340/Prices!D339)-1</f>
        <v>3.6478832677353523E-3</v>
      </c>
      <c r="E920">
        <f>(Prices!E340/Prices!E339)-1</f>
        <v>-2.6791181873853098E-4</v>
      </c>
      <c r="F920">
        <f>(Prices!F340/Prices!F339)-1</f>
        <v>-6.0129740518962138E-2</v>
      </c>
      <c r="G920">
        <f t="shared" si="56"/>
        <v>-1.4536616168783101E-2</v>
      </c>
      <c r="H920" s="8">
        <f t="shared" si="59"/>
        <v>756923.61584695871</v>
      </c>
      <c r="I920" s="8">
        <f t="shared" si="57"/>
        <v>1067100.1647020529</v>
      </c>
      <c r="J920" s="13">
        <f t="shared" si="58"/>
        <v>-0.29067238401345313</v>
      </c>
    </row>
    <row r="921" spans="1:10" x14ac:dyDescent="0.25">
      <c r="A921" s="6">
        <v>45796</v>
      </c>
      <c r="B921">
        <f>(Prices!B339/Prices!B338)-1</f>
        <v>-2.1114864864864025E-3</v>
      </c>
      <c r="C921">
        <f>(Prices!C339/Prices!C338)-1</f>
        <v>-1.0035652977683829E-2</v>
      </c>
      <c r="D921">
        <f>(Prices!D339/Prices!D338)-1</f>
        <v>1.6094420600858417E-2</v>
      </c>
      <c r="E921">
        <f>(Prices!E339/Prices!E338)-1</f>
        <v>1.0129127039356423E-2</v>
      </c>
      <c r="F921">
        <f>(Prices!F339/Prices!F338)-1</f>
        <v>-7.5919765488620339E-2</v>
      </c>
      <c r="G921">
        <f t="shared" si="56"/>
        <v>-1.2368671462515147E-2</v>
      </c>
      <c r="H921" s="8">
        <f t="shared" si="59"/>
        <v>747561.47632032866</v>
      </c>
      <c r="I921" s="8">
        <f t="shared" si="57"/>
        <v>1067100.1647020529</v>
      </c>
      <c r="J921" s="13">
        <f t="shared" si="58"/>
        <v>-0.29944582425487987</v>
      </c>
    </row>
    <row r="922" spans="1:10" x14ac:dyDescent="0.25">
      <c r="A922" s="5">
        <v>45797</v>
      </c>
      <c r="B922">
        <f>(Prices!B338/Prices!B337)-1</f>
        <v>1.5624042644445613E-2</v>
      </c>
      <c r="C922">
        <f>(Prices!C338/Prices!C337)-1</f>
        <v>1.5208622627784774E-3</v>
      </c>
      <c r="D922">
        <f>(Prices!D338/Prices!D337)-1</f>
        <v>1.4547253834735319E-2</v>
      </c>
      <c r="E922">
        <f>(Prices!E338/Prices!E337)-1</f>
        <v>-3.0064754856613529E-3</v>
      </c>
      <c r="F922">
        <f>(Prices!F338/Prices!F337)-1</f>
        <v>-1.7697683447650991E-2</v>
      </c>
      <c r="G922">
        <f t="shared" si="56"/>
        <v>2.1975999617294133E-3</v>
      </c>
      <c r="H922" s="8">
        <f t="shared" si="59"/>
        <v>749204.31739208056</v>
      </c>
      <c r="I922" s="8">
        <f t="shared" si="57"/>
        <v>1067100.1647020529</v>
      </c>
      <c r="J922" s="13">
        <f t="shared" si="58"/>
        <v>-0.29790628642507305</v>
      </c>
    </row>
    <row r="923" spans="1:10" x14ac:dyDescent="0.25">
      <c r="A923" s="6">
        <v>45798</v>
      </c>
      <c r="B923">
        <f>(Prices!B337/Prices!B336)-1</f>
        <v>-2.7180067950169917E-2</v>
      </c>
      <c r="C923">
        <f>(Prices!C337/Prices!C336)-1</f>
        <v>1.2384522693801081E-2</v>
      </c>
      <c r="D923">
        <f>(Prices!D337/Prices!D336)-1</f>
        <v>1.2423604849213454E-2</v>
      </c>
      <c r="E923">
        <f>(Prices!E337/Prices!E336)-1</f>
        <v>1.7770977992232595E-2</v>
      </c>
      <c r="F923">
        <f>(Prices!F337/Prices!F336)-1</f>
        <v>6.1401098901098905E-2</v>
      </c>
      <c r="G923">
        <f t="shared" si="56"/>
        <v>1.5360027297235224E-2</v>
      </c>
      <c r="H923" s="8">
        <f t="shared" si="59"/>
        <v>760712.11615842942</v>
      </c>
      <c r="I923" s="8">
        <f t="shared" si="57"/>
        <v>1067100.1647020529</v>
      </c>
      <c r="J923" s="13">
        <f t="shared" si="58"/>
        <v>-0.28712210781934489</v>
      </c>
    </row>
    <row r="924" spans="1:10" x14ac:dyDescent="0.25">
      <c r="A924" s="5">
        <v>45799</v>
      </c>
      <c r="B924">
        <f>(Prices!B336/Prices!B335)-1</f>
        <v>-1.3523843123419699E-2</v>
      </c>
      <c r="C924">
        <f>(Prices!C336/Prices!C335)-1</f>
        <v>-5.0398525787616055E-3</v>
      </c>
      <c r="D924">
        <f>(Prices!D336/Prices!D335)-1</f>
        <v>6.6565809379728336E-3</v>
      </c>
      <c r="E924">
        <f>(Prices!E336/Prices!E335)-1</f>
        <v>1.4142604596345532E-3</v>
      </c>
      <c r="F924">
        <f>(Prices!F336/Prices!F335)-1</f>
        <v>2.1252717963105905E-2</v>
      </c>
      <c r="G924">
        <f t="shared" si="56"/>
        <v>2.1519727317063971E-3</v>
      </c>
      <c r="H924" s="8">
        <f t="shared" si="59"/>
        <v>762349.14788908092</v>
      </c>
      <c r="I924" s="8">
        <f t="shared" si="57"/>
        <v>1067100.1647020529</v>
      </c>
      <c r="J924" s="13">
        <f t="shared" si="58"/>
        <v>-0.28558801403433587</v>
      </c>
    </row>
    <row r="925" spans="1:10" x14ac:dyDescent="0.25">
      <c r="A925" s="6">
        <v>45800</v>
      </c>
      <c r="B925">
        <f>(Prices!B335/Prices!B334)-1</f>
        <v>1.4253339694656475E-2</v>
      </c>
      <c r="C925">
        <f>(Prices!C335/Prices!C334)-1</f>
        <v>1.0408955290845068E-2</v>
      </c>
      <c r="D925">
        <f>(Prices!D335/Prices!D334)-1</f>
        <v>-5.040322580645018E-4</v>
      </c>
      <c r="E925">
        <f>(Prices!E335/Prices!E334)-1</f>
        <v>-1.5711536195450737E-4</v>
      </c>
      <c r="F925">
        <f>(Prices!F335/Prices!F334)-1</f>
        <v>3.7313432835821558E-3</v>
      </c>
      <c r="G925">
        <f t="shared" si="56"/>
        <v>5.5464981298129386E-3</v>
      </c>
      <c r="H925" s="8">
        <f t="shared" si="59"/>
        <v>766577.51601211226</v>
      </c>
      <c r="I925" s="8">
        <f t="shared" si="57"/>
        <v>1067100.1647020529</v>
      </c>
      <c r="J925" s="13">
        <f t="shared" si="58"/>
        <v>-0.2816255292902613</v>
      </c>
    </row>
    <row r="926" spans="1:10" x14ac:dyDescent="0.25">
      <c r="A926" s="5">
        <v>45804</v>
      </c>
      <c r="B926">
        <f>(Prices!B334/Prices!B333)-1</f>
        <v>-2.5626125864373295E-2</v>
      </c>
      <c r="C926">
        <f>(Prices!C334/Prices!C333)-1</f>
        <v>-2.2819939497566777E-2</v>
      </c>
      <c r="D926">
        <f>(Prices!D334/Prices!D333)-1</f>
        <v>-4.8154093097914075E-3</v>
      </c>
      <c r="E926">
        <f>(Prices!E334/Prices!E333)-1</f>
        <v>-1.7254690033196907E-2</v>
      </c>
      <c r="F926">
        <f>(Prices!F334/Prices!F333)-1</f>
        <v>1.9398300003528046E-3</v>
      </c>
      <c r="G926">
        <f t="shared" si="56"/>
        <v>-1.3715266940915117E-2</v>
      </c>
      <c r="H926" s="8">
        <f t="shared" si="59"/>
        <v>756063.70074910251</v>
      </c>
      <c r="I926" s="8">
        <f t="shared" si="57"/>
        <v>1067100.1647020529</v>
      </c>
      <c r="J926" s="13">
        <f t="shared" si="58"/>
        <v>-0.29147822691958397</v>
      </c>
    </row>
    <row r="927" spans="1:10" x14ac:dyDescent="0.25">
      <c r="A927" s="6">
        <v>45805</v>
      </c>
      <c r="B927">
        <f>(Prices!B333/Prices!B332)-1</f>
        <v>3.1477703293500969E-3</v>
      </c>
      <c r="C927">
        <f>(Prices!C333/Prices!C332)-1</f>
        <v>7.2866984631689835E-3</v>
      </c>
      <c r="D927">
        <f>(Prices!D333/Prices!D332)-1</f>
        <v>1.3832384052075097E-2</v>
      </c>
      <c r="E927">
        <f>(Prices!E333/Prices!E332)-1</f>
        <v>6.8402642829381577E-3</v>
      </c>
      <c r="F927">
        <f>(Prices!F333/Prices!F332)-1</f>
        <v>-1.0435571687840373E-2</v>
      </c>
      <c r="G927">
        <f t="shared" si="56"/>
        <v>4.1343090879383936E-3</v>
      </c>
      <c r="H927" s="8">
        <f t="shared" si="59"/>
        <v>759189.50177816988</v>
      </c>
      <c r="I927" s="8">
        <f t="shared" si="57"/>
        <v>1067100.1647020529</v>
      </c>
      <c r="J927" s="13">
        <f t="shared" si="58"/>
        <v>-0.28854897891413539</v>
      </c>
    </row>
    <row r="928" spans="1:10" x14ac:dyDescent="0.25">
      <c r="A928" s="5">
        <v>45806</v>
      </c>
      <c r="B928">
        <f>(Prices!B332/Prices!B331)-1</f>
        <v>2.9231218941829784E-3</v>
      </c>
      <c r="C928">
        <f>(Prices!C332/Prices!C331)-1</f>
        <v>-2.8842554877914761E-3</v>
      </c>
      <c r="D928">
        <f>(Prices!D332/Prices!D331)-1</f>
        <v>-5.6634304207120456E-3</v>
      </c>
      <c r="E928">
        <f>(Prices!E332/Prices!E331)-1</f>
        <v>-3.3312674310506107E-3</v>
      </c>
      <c r="F928">
        <f>(Prices!F332/Prices!F331)-1</f>
        <v>-2.0936562216489207E-4</v>
      </c>
      <c r="G928">
        <f t="shared" si="56"/>
        <v>-1.8330394135072092E-3</v>
      </c>
      <c r="H928" s="8">
        <f t="shared" si="59"/>
        <v>757797.87749908958</v>
      </c>
      <c r="I928" s="8">
        <f t="shared" si="57"/>
        <v>1067100.1647020529</v>
      </c>
      <c r="J928" s="13">
        <f t="shared" si="58"/>
        <v>-0.28985309667656572</v>
      </c>
    </row>
    <row r="929" spans="1:10" x14ac:dyDescent="0.25">
      <c r="A929" s="6">
        <v>45807</v>
      </c>
      <c r="B929">
        <f>(Prices!B331/Prices!B330)-1</f>
        <v>7.0204177148536218E-4</v>
      </c>
      <c r="C929">
        <f>(Prices!C331/Prices!C330)-1</f>
        <v>-3.6415487550729431E-3</v>
      </c>
      <c r="D929">
        <f>(Prices!D331/Prices!D330)-1</f>
        <v>3.8578680203045224E-3</v>
      </c>
      <c r="E929">
        <f>(Prices!E331/Prices!E330)-1</f>
        <v>1.3964313421257479E-3</v>
      </c>
      <c r="F929">
        <f>(Prices!F331/Prices!F330)-1</f>
        <v>-1.2406092770004928E-2</v>
      </c>
      <c r="G929">
        <f t="shared" si="56"/>
        <v>-2.0182600782324483E-3</v>
      </c>
      <c r="H929" s="8">
        <f t="shared" si="59"/>
        <v>756268.44429556385</v>
      </c>
      <c r="I929" s="8">
        <f t="shared" si="57"/>
        <v>1067100.1647020529</v>
      </c>
      <c r="J929" s="13">
        <f t="shared" si="58"/>
        <v>-0.29128635782122386</v>
      </c>
    </row>
    <row r="930" spans="1:10" x14ac:dyDescent="0.25">
      <c r="A930" s="5">
        <v>45810</v>
      </c>
      <c r="B930">
        <f>(Prices!B330/Prices!B329)-1</f>
        <v>1.5989063242986212E-2</v>
      </c>
      <c r="C930">
        <f>(Prices!C330/Prices!C329)-1</f>
        <v>-3.4976500163951263E-3</v>
      </c>
      <c r="D930">
        <f>(Prices!D330/Prices!D329)-1</f>
        <v>-7.2566014916347621E-3</v>
      </c>
      <c r="E930">
        <f>(Prices!E330/Prices!E329)-1</f>
        <v>-2.5149932288642818E-3</v>
      </c>
      <c r="F930">
        <f>(Prices!F330/Prices!F329)-1</f>
        <v>-9.2187926795956887E-3</v>
      </c>
      <c r="G930">
        <f t="shared" si="56"/>
        <v>-1.2997948347007293E-3</v>
      </c>
      <c r="H930" s="8">
        <f t="shared" si="59"/>
        <v>755285.45047802129</v>
      </c>
      <c r="I930" s="8">
        <f t="shared" si="57"/>
        <v>1067100.1647020529</v>
      </c>
      <c r="J930" s="13">
        <f t="shared" si="58"/>
        <v>-0.2922075401526098</v>
      </c>
    </row>
    <row r="931" spans="1:10" x14ac:dyDescent="0.25">
      <c r="A931" s="6">
        <v>45811</v>
      </c>
      <c r="B931">
        <f>(Prices!B329/Prices!B328)-1</f>
        <v>1.7170495767835581E-2</v>
      </c>
      <c r="C931">
        <f>(Prices!C329/Prices!C328)-1</f>
        <v>-2.1594974260535915E-3</v>
      </c>
      <c r="D931">
        <f>(Prices!D329/Prices!D328)-1</f>
        <v>-7.3036518259129712E-3</v>
      </c>
      <c r="E931">
        <f>(Prices!E329/Prices!E328)-1</f>
        <v>-6.0379970771479163E-3</v>
      </c>
      <c r="F931">
        <f>(Prices!F329/Prices!F328)-1</f>
        <v>1.1640357846015803E-2</v>
      </c>
      <c r="G931">
        <f t="shared" si="56"/>
        <v>2.6619414569473811E-3</v>
      </c>
      <c r="H931" s="8">
        <f t="shared" si="59"/>
        <v>757295.97613047785</v>
      </c>
      <c r="I931" s="8">
        <f t="shared" si="57"/>
        <v>1067100.1647020529</v>
      </c>
      <c r="J931" s="13">
        <f t="shared" si="58"/>
        <v>-0.29032343806082733</v>
      </c>
    </row>
    <row r="932" spans="1:10" x14ac:dyDescent="0.25">
      <c r="A932" s="5">
        <v>45812</v>
      </c>
      <c r="B932">
        <f>(Prices!B328/Prices!B327)-1</f>
        <v>-1.1120411335645008E-2</v>
      </c>
      <c r="C932">
        <f>(Prices!C328/Prices!C327)-1</f>
        <v>-1.9376047721680889E-3</v>
      </c>
      <c r="D932">
        <f>(Prices!D328/Prices!D327)-1</f>
        <v>1.4720812182741128E-2</v>
      </c>
      <c r="E932">
        <f>(Prices!E328/Prices!E327)-1</f>
        <v>7.7513371056507907E-3</v>
      </c>
      <c r="F932">
        <f>(Prices!F328/Prices!F327)-1</f>
        <v>2.7709466246406134E-3</v>
      </c>
      <c r="G932">
        <f t="shared" si="56"/>
        <v>2.4370159610438871E-3</v>
      </c>
      <c r="H932" s="8">
        <f t="shared" si="59"/>
        <v>759141.51851154212</v>
      </c>
      <c r="I932" s="8">
        <f t="shared" si="57"/>
        <v>1067100.1647020529</v>
      </c>
      <c r="J932" s="13">
        <f t="shared" si="58"/>
        <v>-0.28859394495220281</v>
      </c>
    </row>
    <row r="933" spans="1:10" x14ac:dyDescent="0.25">
      <c r="A933" s="6">
        <v>45813</v>
      </c>
      <c r="B933">
        <f>(Prices!B327/Prices!B326)-1</f>
        <v>-9.5568032493131838E-4</v>
      </c>
      <c r="C933">
        <f>(Prices!C327/Prices!C326)-1</f>
        <v>-8.1407903260635184E-3</v>
      </c>
      <c r="D933">
        <f>(Prices!D327/Prices!D326)-1</f>
        <v>4.5894951555329744E-3</v>
      </c>
      <c r="E933">
        <f>(Prices!E327/Prices!E326)-1</f>
        <v>8.6786551993744965E-3</v>
      </c>
      <c r="F933">
        <f>(Prices!F327/Prices!F326)-1</f>
        <v>1.5368924526974803E-2</v>
      </c>
      <c r="G933">
        <f t="shared" si="56"/>
        <v>3.9081208461774876E-3</v>
      </c>
      <c r="H933" s="8">
        <f t="shared" si="59"/>
        <v>762108.33530523593</v>
      </c>
      <c r="I933" s="8">
        <f t="shared" si="57"/>
        <v>1067100.1647020529</v>
      </c>
      <c r="J933" s="13">
        <f t="shared" si="58"/>
        <v>-0.2858136841183736</v>
      </c>
    </row>
    <row r="934" spans="1:10" x14ac:dyDescent="0.25">
      <c r="A934" s="5">
        <v>45814</v>
      </c>
      <c r="B934">
        <f>(Prices!B326/Prices!B325)-1</f>
        <v>-3.1526580667553761E-2</v>
      </c>
      <c r="C934">
        <f>(Prices!C326/Prices!C325)-1</f>
        <v>-5.7537893426079512E-3</v>
      </c>
      <c r="D934">
        <f>(Prices!D326/Prices!D325)-1</f>
        <v>-2.3406374501992122E-2</v>
      </c>
      <c r="E934">
        <f>(Prices!E326/Prices!E325)-1</f>
        <v>-1.4220201163821278E-2</v>
      </c>
      <c r="F934">
        <f>(Prices!F326/Prices!F325)-1</f>
        <v>-2.432831211611719E-2</v>
      </c>
      <c r="G934">
        <f t="shared" si="56"/>
        <v>-1.9847051558418462E-2</v>
      </c>
      <c r="H934" s="8">
        <f t="shared" si="59"/>
        <v>746982.73188133247</v>
      </c>
      <c r="I934" s="8">
        <f t="shared" si="57"/>
        <v>1067100.1647020529</v>
      </c>
      <c r="J934" s="13">
        <f t="shared" si="58"/>
        <v>-0.29998817675199319</v>
      </c>
    </row>
    <row r="935" spans="1:10" x14ac:dyDescent="0.25">
      <c r="A935" s="6">
        <v>45817</v>
      </c>
      <c r="B935">
        <f>(Prices!B325/Prices!B324)-1</f>
        <v>-1.4873489856393807E-2</v>
      </c>
      <c r="C935">
        <f>(Prices!C325/Prices!C324)-1</f>
        <v>-4.9987182773648664E-3</v>
      </c>
      <c r="D935">
        <f>(Prices!D325/Prices!D324)-1</f>
        <v>-6.6290689621053556E-3</v>
      </c>
      <c r="E935">
        <f>(Prices!E325/Prices!E324)-1</f>
        <v>-3.8006756756756577E-3</v>
      </c>
      <c r="F935">
        <f>(Prices!F325/Prices!F324)-1</f>
        <v>6.8631824577058964E-5</v>
      </c>
      <c r="G935">
        <f t="shared" si="56"/>
        <v>-6.0466641893925262E-3</v>
      </c>
      <c r="H935" s="8">
        <f t="shared" si="59"/>
        <v>742465.97814637108</v>
      </c>
      <c r="I935" s="8">
        <f t="shared" si="57"/>
        <v>1067100.1647020529</v>
      </c>
      <c r="J935" s="13">
        <f t="shared" si="58"/>
        <v>-0.30422091317577821</v>
      </c>
    </row>
    <row r="936" spans="1:10" x14ac:dyDescent="0.25">
      <c r="A936" s="5">
        <v>45818</v>
      </c>
      <c r="B936">
        <f>(Prices!B324/Prices!B323)-1</f>
        <v>-1.4046522081132662E-2</v>
      </c>
      <c r="C936">
        <f>(Prices!C324/Prices!C323)-1</f>
        <v>3.8815380326391313E-3</v>
      </c>
      <c r="D936">
        <f>(Prices!D324/Prices!D323)-1</f>
        <v>-2.1018984889577652E-2</v>
      </c>
      <c r="E936">
        <f>(Prices!E324/Prices!E323)-1</f>
        <v>-6.9007587021998607E-3</v>
      </c>
      <c r="F936">
        <f>(Prices!F324/Prices!F323)-1</f>
        <v>-1.952188506062047E-3</v>
      </c>
      <c r="G936">
        <f t="shared" si="56"/>
        <v>-8.0073832292666177E-3</v>
      </c>
      <c r="H936" s="8">
        <f t="shared" si="59"/>
        <v>736520.76852466073</v>
      </c>
      <c r="I936" s="8">
        <f t="shared" si="57"/>
        <v>1067100.1647020529</v>
      </c>
      <c r="J936" s="13">
        <f t="shared" si="58"/>
        <v>-0.30979228296688899</v>
      </c>
    </row>
    <row r="937" spans="1:10" x14ac:dyDescent="0.25">
      <c r="A937" s="6">
        <v>45819</v>
      </c>
      <c r="B937">
        <f>(Prices!B323/Prices!B322)-1</f>
        <v>7.0729361172410243E-3</v>
      </c>
      <c r="C937">
        <f>(Prices!C323/Prices!C322)-1</f>
        <v>-3.5898202953055236E-3</v>
      </c>
      <c r="D937">
        <f>(Prices!D323/Prices!D322)-1</f>
        <v>-1.9097387173396707E-2</v>
      </c>
      <c r="E937">
        <f>(Prices!E323/Prices!E322)-1</f>
        <v>1.6803513461904895E-3</v>
      </c>
      <c r="F937">
        <f>(Prices!F323/Prices!F322)-1</f>
        <v>-2.1809775871888482E-2</v>
      </c>
      <c r="G937">
        <f t="shared" si="56"/>
        <v>-7.1487391754318395E-3</v>
      </c>
      <c r="H937" s="8">
        <f t="shared" si="59"/>
        <v>731255.57365318935</v>
      </c>
      <c r="I937" s="8">
        <f t="shared" si="57"/>
        <v>1067100.1647020529</v>
      </c>
      <c r="J937" s="13">
        <f t="shared" si="58"/>
        <v>-0.31472639791282891</v>
      </c>
    </row>
    <row r="938" spans="1:10" x14ac:dyDescent="0.25">
      <c r="A938" s="5">
        <v>45820</v>
      </c>
      <c r="B938">
        <f>(Prices!B322/Prices!B321)-1</f>
        <v>9.366611456964824E-3</v>
      </c>
      <c r="C938">
        <f>(Prices!C322/Prices!C321)-1</f>
        <v>-1.3054114471297784E-2</v>
      </c>
      <c r="D938">
        <f>(Prices!D322/Prices!D321)-1</f>
        <v>-3.8803710013249892E-3</v>
      </c>
      <c r="E938">
        <f>(Prices!E322/Prices!E321)-1</f>
        <v>-3.435901351453996E-4</v>
      </c>
      <c r="F938">
        <f>(Prices!F322/Prices!F321)-1</f>
        <v>-2.4924866065595186E-2</v>
      </c>
      <c r="G938">
        <f t="shared" si="56"/>
        <v>-6.5672660432797075E-3</v>
      </c>
      <c r="H938" s="8">
        <f t="shared" si="59"/>
        <v>726453.22375537769</v>
      </c>
      <c r="I938" s="8">
        <f t="shared" si="57"/>
        <v>1067100.1647020529</v>
      </c>
      <c r="J938" s="13">
        <f t="shared" si="58"/>
        <v>-0.31922677197017202</v>
      </c>
    </row>
    <row r="939" spans="1:10" x14ac:dyDescent="0.25">
      <c r="A939" s="6">
        <v>45821</v>
      </c>
      <c r="B939">
        <f>(Prices!B321/Prices!B320)-1</f>
        <v>5.9174997127426909E-3</v>
      </c>
      <c r="C939">
        <f>(Prices!C321/Prices!C320)-1</f>
        <v>8.2286151687185338E-3</v>
      </c>
      <c r="D939">
        <f>(Prices!D321/Prices!D320)-1</f>
        <v>-2.1304186735828012E-2</v>
      </c>
      <c r="E939">
        <f>(Prices!E321/Prices!E320)-1</f>
        <v>1.2406756077764314E-2</v>
      </c>
      <c r="F939">
        <f>(Prices!F321/Prices!F320)-1</f>
        <v>1.5862480918563904E-2</v>
      </c>
      <c r="G939">
        <f t="shared" si="56"/>
        <v>4.2222330283922865E-3</v>
      </c>
      <c r="H939" s="8">
        <f t="shared" si="59"/>
        <v>729520.47855029977</v>
      </c>
      <c r="I939" s="8">
        <f t="shared" si="57"/>
        <v>1067100.1647020529</v>
      </c>
      <c r="J939" s="13">
        <f t="shared" si="58"/>
        <v>-0.31635238876193916</v>
      </c>
    </row>
    <row r="940" spans="1:10" x14ac:dyDescent="0.25">
      <c r="A940" s="5">
        <v>45824</v>
      </c>
      <c r="B940">
        <f>(Prices!B320/Prices!B319)-1</f>
        <v>-1.1864887879648012E-2</v>
      </c>
      <c r="C940">
        <f>(Prices!C320/Prices!C319)-1</f>
        <v>-8.7258931394246231E-3</v>
      </c>
      <c r="D940">
        <f>(Prices!D320/Prices!D319)-1</f>
        <v>-3.1394275161588103E-3</v>
      </c>
      <c r="E940">
        <f>(Prices!E320/Prices!E319)-1</f>
        <v>-1.9999242452937271E-2</v>
      </c>
      <c r="F940">
        <f>(Prices!F320/Prices!F319)-1</f>
        <v>1.1887172599059692E-2</v>
      </c>
      <c r="G940">
        <f t="shared" si="56"/>
        <v>-6.3684556778218051E-3</v>
      </c>
      <c r="H940" s="8">
        <f t="shared" si="59"/>
        <v>724874.55971658882</v>
      </c>
      <c r="I940" s="8">
        <f t="shared" si="57"/>
        <v>1067100.1647020529</v>
      </c>
      <c r="J940" s="13">
        <f t="shared" si="58"/>
        <v>-0.32070616827335752</v>
      </c>
    </row>
    <row r="941" spans="1:10" x14ac:dyDescent="0.25">
      <c r="A941" s="6">
        <v>45825</v>
      </c>
      <c r="B941">
        <f>(Prices!B319/Prices!B318)-1</f>
        <v>4.6195962130717305E-3</v>
      </c>
      <c r="C941">
        <f>(Prices!C319/Prices!C318)-1</f>
        <v>2.3026871725535525E-3</v>
      </c>
      <c r="D941">
        <f>(Prices!D319/Prices!D318)-1</f>
        <v>-1.3391637059305794E-2</v>
      </c>
      <c r="E941">
        <f>(Prices!E319/Prices!E318)-1</f>
        <v>3.115619894372923E-3</v>
      </c>
      <c r="F941">
        <f>(Prices!F319/Prices!F318)-1</f>
        <v>-3.9134361307154863E-3</v>
      </c>
      <c r="G941">
        <f t="shared" si="56"/>
        <v>-1.4534339820046153E-3</v>
      </c>
      <c r="H941" s="8">
        <f t="shared" si="59"/>
        <v>723821.00239880616</v>
      </c>
      <c r="I941" s="8">
        <f t="shared" si="57"/>
        <v>1067100.1647020529</v>
      </c>
      <c r="J941" s="13">
        <f t="shared" si="58"/>
        <v>-0.32169347701215512</v>
      </c>
    </row>
    <row r="942" spans="1:10" x14ac:dyDescent="0.25">
      <c r="A942" s="5">
        <v>45826</v>
      </c>
      <c r="B942">
        <f>(Prices!B318/Prices!B317)-1</f>
        <v>1.516905974988414E-2</v>
      </c>
      <c r="C942">
        <f>(Prices!C318/Prices!C317)-1</f>
        <v>-4.5842621020314445E-3</v>
      </c>
      <c r="D942">
        <f>(Prices!D318/Prices!D317)-1</f>
        <v>7.1566198733827857E-3</v>
      </c>
      <c r="E942">
        <f>(Prices!E318/Prices!E317)-1</f>
        <v>-1.6222479721900274E-2</v>
      </c>
      <c r="F942">
        <f>(Prices!F318/Prices!F317)-1</f>
        <v>5.4143126177024214E-3</v>
      </c>
      <c r="G942">
        <f t="shared" si="56"/>
        <v>1.3866500834075258E-3</v>
      </c>
      <c r="H942" s="8">
        <f t="shared" si="59"/>
        <v>724824.68885215453</v>
      </c>
      <c r="I942" s="8">
        <f t="shared" si="57"/>
        <v>1067100.1647020529</v>
      </c>
      <c r="J942" s="13">
        <f t="shared" si="58"/>
        <v>-0.32075290321547817</v>
      </c>
    </row>
    <row r="943" spans="1:10" x14ac:dyDescent="0.25">
      <c r="A943" s="6">
        <v>45828</v>
      </c>
      <c r="B943">
        <f>(Prices!B317/Prices!B316)-1</f>
        <v>4.0105985788269294E-2</v>
      </c>
      <c r="C943">
        <f>(Prices!C317/Prices!C316)-1</f>
        <v>5.9441964757895871E-3</v>
      </c>
      <c r="D943">
        <f>(Prices!D317/Prices!D316)-1</f>
        <v>-1.3129300977906544E-2</v>
      </c>
      <c r="E943">
        <f>(Prices!E317/Prices!E316)-1</f>
        <v>-3.7610784240710293E-3</v>
      </c>
      <c r="F943">
        <f>(Prices!F317/Prices!F316)-1</f>
        <v>1.720658160298294E-2</v>
      </c>
      <c r="G943">
        <f t="shared" si="56"/>
        <v>9.2732768930128516E-3</v>
      </c>
      <c r="H943" s="8">
        <f t="shared" si="59"/>
        <v>731546.18889077241</v>
      </c>
      <c r="I943" s="8">
        <f t="shared" si="57"/>
        <v>1067100.1647020529</v>
      </c>
      <c r="J943" s="13">
        <f t="shared" si="58"/>
        <v>-0.31445405680822025</v>
      </c>
    </row>
    <row r="944" spans="1:10" x14ac:dyDescent="0.25">
      <c r="A944" s="5">
        <v>45831</v>
      </c>
      <c r="B944">
        <f>(Prices!B316/Prices!B315)-1</f>
        <v>8.8086993499787436E-3</v>
      </c>
      <c r="C944">
        <f>(Prices!C316/Prices!C315)-1</f>
        <v>-1.7683484332141952E-2</v>
      </c>
      <c r="D944">
        <f>(Prices!D316/Prices!D315)-1</f>
        <v>2.6489450692443572E-2</v>
      </c>
      <c r="E944">
        <f>(Prices!E316/Prices!E315)-1</f>
        <v>-1.1775962316920574E-2</v>
      </c>
      <c r="F944">
        <f>(Prices!F316/Prices!F315)-1</f>
        <v>4.3978697818243262E-3</v>
      </c>
      <c r="G944">
        <f t="shared" si="56"/>
        <v>2.0473146350368236E-3</v>
      </c>
      <c r="H944" s="8">
        <f t="shared" si="59"/>
        <v>733043.89410949394</v>
      </c>
      <c r="I944" s="8">
        <f t="shared" si="57"/>
        <v>1067100.1647020529</v>
      </c>
      <c r="J944" s="13">
        <f t="shared" si="58"/>
        <v>-0.31305052856573357</v>
      </c>
    </row>
    <row r="945" spans="1:10" x14ac:dyDescent="0.25">
      <c r="A945" s="6">
        <v>45832</v>
      </c>
      <c r="B945">
        <f>(Prices!B315/Prices!B314)-1</f>
        <v>-9.5071905650158106E-3</v>
      </c>
      <c r="C945">
        <f>(Prices!C315/Prices!C314)-1</f>
        <v>-8.3863922029218108E-3</v>
      </c>
      <c r="D945">
        <f>(Prices!D315/Prices!D314)-1</f>
        <v>3.1345858895705625E-2</v>
      </c>
      <c r="E945">
        <f>(Prices!E315/Prices!E314)-1</f>
        <v>-1.0631326003058383E-2</v>
      </c>
      <c r="F945">
        <f>(Prices!F315/Prices!F314)-1</f>
        <v>-1.6157928540039834E-2</v>
      </c>
      <c r="G945">
        <f t="shared" si="56"/>
        <v>-2.6673956830660429E-3</v>
      </c>
      <c r="H945" s="8">
        <f t="shared" si="59"/>
        <v>731088.57599084836</v>
      </c>
      <c r="I945" s="8">
        <f t="shared" si="57"/>
        <v>1067100.1647020529</v>
      </c>
      <c r="J945" s="13">
        <f t="shared" si="58"/>
        <v>-0.31488289462032182</v>
      </c>
    </row>
    <row r="946" spans="1:10" x14ac:dyDescent="0.25">
      <c r="A946" s="5">
        <v>45833</v>
      </c>
      <c r="B946">
        <f>(Prices!B314/Prices!B313)-1</f>
        <v>-2.2929037568346189E-2</v>
      </c>
      <c r="C946">
        <f>(Prices!C314/Prices!C313)-1</f>
        <v>-4.3901938660375617E-3</v>
      </c>
      <c r="D946">
        <f>(Prices!D314/Prices!D313)-1</f>
        <v>-2.8749401054151136E-4</v>
      </c>
      <c r="E946">
        <f>(Prices!E314/Prices!E313)-1</f>
        <v>-9.841739067738442E-3</v>
      </c>
      <c r="F946">
        <f>(Prices!F314/Prices!F313)-1</f>
        <v>1.1938154204009122E-2</v>
      </c>
      <c r="G946">
        <f t="shared" si="56"/>
        <v>-5.1020620617309165E-3</v>
      </c>
      <c r="H946" s="8">
        <f t="shared" si="59"/>
        <v>727358.51670352055</v>
      </c>
      <c r="I946" s="8">
        <f t="shared" si="57"/>
        <v>1067100.1647020529</v>
      </c>
      <c r="J946" s="13">
        <f t="shared" si="58"/>
        <v>-0.31837840461152239</v>
      </c>
    </row>
    <row r="947" spans="1:10" x14ac:dyDescent="0.25">
      <c r="A947" s="6">
        <v>45834</v>
      </c>
      <c r="B947">
        <f>(Prices!B313/Prices!B312)-1</f>
        <v>-1.6479703943564239E-2</v>
      </c>
      <c r="C947">
        <f>(Prices!C313/Prices!C312)-1</f>
        <v>-1.0414551950952089E-2</v>
      </c>
      <c r="D947">
        <f>(Prices!D313/Prices!D312)-1</f>
        <v>-1.4729487300538247E-2</v>
      </c>
      <c r="E947">
        <f>(Prices!E313/Prices!E312)-1</f>
        <v>-1.6242862715891926E-2</v>
      </c>
      <c r="F947">
        <f>(Prices!F313/Prices!F312)-1</f>
        <v>-1.980062815785999E-3</v>
      </c>
      <c r="G947">
        <f t="shared" si="56"/>
        <v>-1.19693337453465E-2</v>
      </c>
      <c r="H947" s="8">
        <f t="shared" si="59"/>
        <v>718652.51986457594</v>
      </c>
      <c r="I947" s="8">
        <f t="shared" si="57"/>
        <v>1067100.1647020529</v>
      </c>
      <c r="J947" s="13">
        <f t="shared" si="58"/>
        <v>-0.32653696097476259</v>
      </c>
    </row>
    <row r="948" spans="1:10" x14ac:dyDescent="0.25">
      <c r="A948" s="5">
        <v>45835</v>
      </c>
      <c r="B948">
        <f>(Prices!B312/Prices!B311)-1</f>
        <v>-2.7935472991962196E-2</v>
      </c>
      <c r="C948">
        <f>(Prices!C312/Prices!C311)-1</f>
        <v>3.0340670752815324E-3</v>
      </c>
      <c r="D948">
        <f>(Prices!D312/Prices!D311)-1</f>
        <v>5.6019749335358693E-3</v>
      </c>
      <c r="E948">
        <f>(Prices!E312/Prices!E311)-1</f>
        <v>5.7067446588436876E-3</v>
      </c>
      <c r="F948">
        <f>(Prices!F312/Prices!F311)-1</f>
        <v>-2.098930481283412E-2</v>
      </c>
      <c r="G948">
        <f t="shared" si="56"/>
        <v>-6.9163982274270466E-3</v>
      </c>
      <c r="H948" s="8">
        <f t="shared" si="59"/>
        <v>713682.03285004862</v>
      </c>
      <c r="I948" s="8">
        <f t="shared" si="57"/>
        <v>1067100.1647020529</v>
      </c>
      <c r="J948" s="13">
        <f t="shared" si="58"/>
        <v>-0.33119489954411435</v>
      </c>
    </row>
    <row r="949" spans="1:10" x14ac:dyDescent="0.25">
      <c r="A949" s="6">
        <v>45838</v>
      </c>
      <c r="B949">
        <f>(Prices!B311/Prices!B310)-1</f>
        <v>1.3039517139277867E-2</v>
      </c>
      <c r="C949">
        <f>(Prices!C311/Prices!C310)-1</f>
        <v>-2.9439233361758799E-3</v>
      </c>
      <c r="D949">
        <f>(Prices!D311/Prices!D310)-1</f>
        <v>1.4643545279383385E-2</v>
      </c>
      <c r="E949">
        <f>(Prices!E311/Prices!E310)-1</f>
        <v>-9.6432356057930546E-3</v>
      </c>
      <c r="F949">
        <f>(Prices!F311/Prices!F310)-1</f>
        <v>-9.1730966652318058E-3</v>
      </c>
      <c r="G949">
        <f t="shared" si="56"/>
        <v>1.1845613622921023E-3</v>
      </c>
      <c r="H949" s="8">
        <f t="shared" si="59"/>
        <v>714527.43301112484</v>
      </c>
      <c r="I949" s="8">
        <f t="shared" si="57"/>
        <v>1067100.1647020529</v>
      </c>
      <c r="J949" s="13">
        <f t="shared" si="58"/>
        <v>-0.33040265886321046</v>
      </c>
    </row>
    <row r="950" spans="1:10" x14ac:dyDescent="0.25">
      <c r="A950" s="5">
        <v>45839</v>
      </c>
      <c r="B950">
        <f>(Prices!B310/Prices!B309)-1</f>
        <v>2.2256462934429067E-3</v>
      </c>
      <c r="C950">
        <f>(Prices!C310/Prices!C309)-1</f>
        <v>1.0898343698048096E-2</v>
      </c>
      <c r="D950">
        <f>(Prices!D310/Prices!D309)-1</f>
        <v>-1.3120365088419961E-2</v>
      </c>
      <c r="E950">
        <f>(Prices!E310/Prices!E309)-1</f>
        <v>-1.7278465390174746E-3</v>
      </c>
      <c r="F950">
        <f>(Prices!F310/Prices!F309)-1</f>
        <v>-4.3460356679020484E-2</v>
      </c>
      <c r="G950">
        <f t="shared" si="56"/>
        <v>-9.0369156629933837E-3</v>
      </c>
      <c r="H950" s="8">
        <f t="shared" si="59"/>
        <v>708070.30886010814</v>
      </c>
      <c r="I950" s="8">
        <f t="shared" si="57"/>
        <v>1067100.1647020529</v>
      </c>
      <c r="J950" s="13">
        <f t="shared" si="58"/>
        <v>-0.33645375356322826</v>
      </c>
    </row>
    <row r="951" spans="1:10" x14ac:dyDescent="0.25">
      <c r="A951" s="6">
        <v>45840</v>
      </c>
      <c r="B951">
        <f>(Prices!B309/Prices!B308)-1</f>
        <v>-1.5672396359959651E-2</v>
      </c>
      <c r="C951">
        <f>(Prices!C309/Prices!C308)-1</f>
        <v>1.9536069754051422E-3</v>
      </c>
      <c r="D951">
        <f>(Prices!D309/Prices!D308)-1</f>
        <v>-1.6365846815673768E-2</v>
      </c>
      <c r="E951">
        <f>(Prices!E309/Prices!E308)-1</f>
        <v>-5.4359262116855378E-3</v>
      </c>
      <c r="F951">
        <f>(Prices!F309/Prices!F308)-1</f>
        <v>6.0429963050050439E-2</v>
      </c>
      <c r="G951">
        <f t="shared" si="56"/>
        <v>4.9818801276273247E-3</v>
      </c>
      <c r="H951" s="8">
        <f t="shared" si="59"/>
        <v>711597.83026078122</v>
      </c>
      <c r="I951" s="8">
        <f t="shared" si="57"/>
        <v>1067100.1647020529</v>
      </c>
      <c r="J951" s="13">
        <f t="shared" si="58"/>
        <v>-0.33314804570434325</v>
      </c>
    </row>
    <row r="952" spans="1:10" x14ac:dyDescent="0.25">
      <c r="A952" s="5">
        <v>45841</v>
      </c>
      <c r="B952">
        <f>(Prices!B308/Prices!B307)-1</f>
        <v>-4.9189491335941415E-3</v>
      </c>
      <c r="C952">
        <f>(Prices!C308/Prices!C307)-1</f>
        <v>-1.5547817637055594E-2</v>
      </c>
      <c r="D952">
        <f>(Prices!D308/Prices!D307)-1</f>
        <v>-1.0182356752753807E-2</v>
      </c>
      <c r="E952">
        <f>(Prices!E308/Prices!E307)-1</f>
        <v>-1.8248175182481785E-2</v>
      </c>
      <c r="F952">
        <f>(Prices!F308/Prices!F307)-1</f>
        <v>-3.2143574633363148E-3</v>
      </c>
      <c r="G952">
        <f t="shared" si="56"/>
        <v>-1.0422331233844328E-2</v>
      </c>
      <c r="H952" s="8">
        <f t="shared" si="59"/>
        <v>704181.32196851843</v>
      </c>
      <c r="I952" s="8">
        <f t="shared" si="57"/>
        <v>1067100.1647020529</v>
      </c>
      <c r="J952" s="13">
        <f t="shared" si="58"/>
        <v>-0.34009819765594901</v>
      </c>
    </row>
    <row r="953" spans="1:10" x14ac:dyDescent="0.25">
      <c r="A953" s="6">
        <v>45845</v>
      </c>
      <c r="B953">
        <f>(Prices!B307/Prices!B306)-1</f>
        <v>1.5496395527047735E-2</v>
      </c>
      <c r="C953">
        <f>(Prices!C307/Prices!C306)-1</f>
        <v>2.2522065537180502E-3</v>
      </c>
      <c r="D953">
        <f>(Prices!D307/Prices!D306)-1</f>
        <v>9.8149186763880625E-3</v>
      </c>
      <c r="E953">
        <f>(Prices!E307/Prices!E306)-1</f>
        <v>1.3787566756256808E-2</v>
      </c>
      <c r="F953">
        <f>(Prices!F307/Prices!F306)-1</f>
        <v>1.5919450302741778E-2</v>
      </c>
      <c r="G953">
        <f t="shared" si="56"/>
        <v>1.1454107563230488E-2</v>
      </c>
      <c r="H953" s="8">
        <f t="shared" si="59"/>
        <v>712247.0905743636</v>
      </c>
      <c r="I953" s="8">
        <f t="shared" si="57"/>
        <v>1067100.1647020529</v>
      </c>
      <c r="J953" s="13">
        <f t="shared" si="58"/>
        <v>-0.33253961143073063</v>
      </c>
    </row>
    <row r="954" spans="1:10" x14ac:dyDescent="0.25">
      <c r="A954" s="5">
        <v>45846</v>
      </c>
      <c r="B954">
        <f>(Prices!B306/Prices!B305)-1</f>
        <v>1.3928057553956652E-2</v>
      </c>
      <c r="C954">
        <f>(Prices!C306/Prices!C305)-1</f>
        <v>2.2165283878314845E-3</v>
      </c>
      <c r="D954">
        <f>(Prices!D306/Prices!D305)-1</f>
        <v>-2.701227830832198E-2</v>
      </c>
      <c r="E954">
        <f>(Prices!E306/Prices!E305)-1</f>
        <v>3.2508018884924494E-2</v>
      </c>
      <c r="F954">
        <f>(Prices!F306/Prices!F305)-1</f>
        <v>-1.295997851195263E-2</v>
      </c>
      <c r="G954">
        <f t="shared" si="56"/>
        <v>1.7360696012876041E-3</v>
      </c>
      <c r="H954" s="8">
        <f t="shared" si="59"/>
        <v>713483.60109691531</v>
      </c>
      <c r="I954" s="8">
        <f t="shared" si="57"/>
        <v>1067100.1647020529</v>
      </c>
      <c r="J954" s="13">
        <f t="shared" si="58"/>
        <v>-0.33138085374007187</v>
      </c>
    </row>
    <row r="955" spans="1:10" x14ac:dyDescent="0.25">
      <c r="A955" s="6">
        <v>45847</v>
      </c>
      <c r="B955">
        <f>(Prices!B305/Prices!B304)-1</f>
        <v>-1.2784090909090939E-2</v>
      </c>
      <c r="C955">
        <f>(Prices!C305/Prices!C304)-1</f>
        <v>-1.36788479281158E-2</v>
      </c>
      <c r="D955">
        <f>(Prices!D305/Prices!D304)-1</f>
        <v>3.3765285636064846E-3</v>
      </c>
      <c r="E955">
        <f>(Prices!E305/Prices!E304)-1</f>
        <v>-1.3317016988192432E-3</v>
      </c>
      <c r="F955">
        <f>(Prices!F305/Prices!F304)-1</f>
        <v>1.5825375170531952E-2</v>
      </c>
      <c r="G955">
        <f t="shared" si="56"/>
        <v>-1.7185473603775086E-3</v>
      </c>
      <c r="H955" s="8">
        <f t="shared" si="59"/>
        <v>712257.44573757763</v>
      </c>
      <c r="I955" s="8">
        <f t="shared" si="57"/>
        <v>1067100.1647020529</v>
      </c>
      <c r="J955" s="13">
        <f t="shared" si="58"/>
        <v>-0.3325299074089747</v>
      </c>
    </row>
    <row r="956" spans="1:10" x14ac:dyDescent="0.25">
      <c r="A956" s="5">
        <v>45848</v>
      </c>
      <c r="B956">
        <f>(Prices!B304/Prices!B303)-1</f>
        <v>-5.6497175141242417E-3</v>
      </c>
      <c r="C956">
        <f>(Prices!C304/Prices!C303)-1</f>
        <v>4.0477676863281964E-3</v>
      </c>
      <c r="D956">
        <f>(Prices!D304/Prices!D303)-1</f>
        <v>-9.7596240737393147E-3</v>
      </c>
      <c r="E956">
        <f>(Prices!E304/Prices!E303)-1</f>
        <v>-1.746941084942355E-2</v>
      </c>
      <c r="F956">
        <f>(Prices!F304/Prices!F303)-1</f>
        <v>1.1348349487771969E-2</v>
      </c>
      <c r="G956">
        <f t="shared" si="56"/>
        <v>-3.4965270526373885E-3</v>
      </c>
      <c r="H956" s="8">
        <f t="shared" si="59"/>
        <v>709767.01831011381</v>
      </c>
      <c r="I956" s="8">
        <f t="shared" si="57"/>
        <v>1067100.1647020529</v>
      </c>
      <c r="J956" s="13">
        <f t="shared" si="58"/>
        <v>-0.33486373464454555</v>
      </c>
    </row>
    <row r="957" spans="1:10" x14ac:dyDescent="0.25">
      <c r="A957" s="6">
        <v>45849</v>
      </c>
      <c r="B957">
        <f>(Prices!B303/Prices!B302)-1</f>
        <v>-1.4257072844731544E-2</v>
      </c>
      <c r="C957">
        <f>(Prices!C303/Prices!C302)-1</f>
        <v>-3.6517586628944665E-3</v>
      </c>
      <c r="D957">
        <f>(Prices!D303/Prices!D302)-1</f>
        <v>-4.3188770919561081E-3</v>
      </c>
      <c r="E957">
        <f>(Prices!E303/Prices!E302)-1</f>
        <v>4.6184453602384767E-3</v>
      </c>
      <c r="F957">
        <f>(Prices!F303/Prices!F302)-1</f>
        <v>-1.5117543144448908E-2</v>
      </c>
      <c r="G957">
        <f t="shared" si="56"/>
        <v>-6.5453612767585106E-3</v>
      </c>
      <c r="H957" s="8">
        <f t="shared" si="59"/>
        <v>705121.33675294637</v>
      </c>
      <c r="I957" s="8">
        <f t="shared" si="57"/>
        <v>1067100.1647020529</v>
      </c>
      <c r="J957" s="13">
        <f t="shared" si="58"/>
        <v>-0.339217291799571</v>
      </c>
    </row>
    <row r="958" spans="1:10" x14ac:dyDescent="0.25">
      <c r="A958" s="5">
        <v>45852</v>
      </c>
      <c r="B958">
        <f>(Prices!B302/Prices!B301)-1</f>
        <v>-7.5719891670812389E-3</v>
      </c>
      <c r="C958">
        <f>(Prices!C302/Prices!C301)-1</f>
        <v>5.8221240714706468E-4</v>
      </c>
      <c r="D958">
        <f>(Prices!D302/Prices!D301)-1</f>
        <v>1.3219071929984505E-2</v>
      </c>
      <c r="E958">
        <f>(Prices!E302/Prices!E301)-1</f>
        <v>-6.3541372493643999E-3</v>
      </c>
      <c r="F958">
        <f>(Prices!F302/Prices!F301)-1</f>
        <v>1.1720226843100257E-2</v>
      </c>
      <c r="G958">
        <f t="shared" si="56"/>
        <v>2.3190769527572375E-3</v>
      </c>
      <c r="H958" s="8">
        <f t="shared" si="59"/>
        <v>706756.56739390746</v>
      </c>
      <c r="I958" s="8">
        <f t="shared" si="57"/>
        <v>1067100.1647020529</v>
      </c>
      <c r="J958" s="13">
        <f t="shared" si="58"/>
        <v>-0.3376848858502029</v>
      </c>
    </row>
    <row r="959" spans="1:10" x14ac:dyDescent="0.25">
      <c r="A959" s="6">
        <v>45853</v>
      </c>
      <c r="B959">
        <f>(Prices!B301/Prices!B300)-1</f>
        <v>-2.4259800408005239E-3</v>
      </c>
      <c r="C959">
        <f>(Prices!C301/Prices!C300)-1</f>
        <v>-5.5303771437698046E-3</v>
      </c>
      <c r="D959">
        <f>(Prices!D301/Prices!D300)-1</f>
        <v>8.9220014716704377E-3</v>
      </c>
      <c r="E959">
        <f>(Prices!E301/Prices!E300)-1</f>
        <v>7.5043567948214207E-3</v>
      </c>
      <c r="F959">
        <f>(Prices!F301/Prices!F300)-1</f>
        <v>3.0422156112763776E-2</v>
      </c>
      <c r="G959">
        <f t="shared" si="56"/>
        <v>7.7784314389370618E-3</v>
      </c>
      <c r="H959" s="8">
        <f t="shared" si="59"/>
        <v>712254.02489739947</v>
      </c>
      <c r="I959" s="8">
        <f t="shared" si="57"/>
        <v>1067100.1647020529</v>
      </c>
      <c r="J959" s="13">
        <f t="shared" si="58"/>
        <v>-0.33253311314381695</v>
      </c>
    </row>
    <row r="960" spans="1:10" x14ac:dyDescent="0.25">
      <c r="A960" s="5">
        <v>45854</v>
      </c>
      <c r="B960">
        <f>(Prices!B300/Prices!B299)-1</f>
        <v>-5.265178522459335E-3</v>
      </c>
      <c r="C960">
        <f>(Prices!C300/Prices!C299)-1</f>
        <v>3.9946471727891897E-4</v>
      </c>
      <c r="D960">
        <f>(Prices!D300/Prices!D299)-1</f>
        <v>6.1077179344808386E-3</v>
      </c>
      <c r="E960">
        <f>(Prices!E300/Prices!E299)-1</f>
        <v>2.5673025494741264E-3</v>
      </c>
      <c r="F960">
        <f>(Prices!F300/Prices!F299)-1</f>
        <v>-2.6843741169821911E-3</v>
      </c>
      <c r="G960">
        <f t="shared" si="56"/>
        <v>2.2498651235847156E-4</v>
      </c>
      <c r="H960" s="8">
        <f t="shared" si="59"/>
        <v>712414.27244637441</v>
      </c>
      <c r="I960" s="8">
        <f t="shared" si="57"/>
        <v>1067100.1647020529</v>
      </c>
      <c r="J960" s="13">
        <f t="shared" si="58"/>
        <v>-0.33238294209682845</v>
      </c>
    </row>
    <row r="961" spans="1:10" x14ac:dyDescent="0.25">
      <c r="A961" s="6">
        <v>45855</v>
      </c>
      <c r="B961">
        <f>(Prices!B299/Prices!B298)-1</f>
        <v>-3.3344265879522439E-3</v>
      </c>
      <c r="C961">
        <f>(Prices!C299/Prices!C298)-1</f>
        <v>-1.1881031794588326E-2</v>
      </c>
      <c r="D961">
        <f>(Prices!D299/Prices!D298)-1</f>
        <v>5.1158031810993876E-3</v>
      </c>
      <c r="E961">
        <f>(Prices!E299/Prices!E298)-1</f>
        <v>-1.4096885326583708E-2</v>
      </c>
      <c r="F961">
        <f>(Prices!F299/Prices!F298)-1</f>
        <v>1.5349304260507957E-2</v>
      </c>
      <c r="G961">
        <f t="shared" si="56"/>
        <v>-1.7694472535033871E-3</v>
      </c>
      <c r="H961" s="8">
        <f t="shared" si="59"/>
        <v>711153.69296863757</v>
      </c>
      <c r="I961" s="8">
        <f t="shared" si="57"/>
        <v>1067100.1647020529</v>
      </c>
      <c r="J961" s="13">
        <f t="shared" si="58"/>
        <v>-0.33356425526632721</v>
      </c>
    </row>
    <row r="962" spans="1:10" x14ac:dyDescent="0.25">
      <c r="A962" s="5">
        <v>45856</v>
      </c>
      <c r="B962">
        <f>(Prices!B298/Prices!B297)-1</f>
        <v>-8.0251599609586499E-3</v>
      </c>
      <c r="C962">
        <f>(Prices!C298/Prices!C297)-1</f>
        <v>3.2273393260207062E-3</v>
      </c>
      <c r="D962">
        <f>(Prices!D298/Prices!D297)-1</f>
        <v>3.6041245061193106E-2</v>
      </c>
      <c r="E962">
        <f>(Prices!E298/Prices!E297)-1</f>
        <v>-4.6885934219734748E-3</v>
      </c>
      <c r="F962">
        <f>(Prices!F298/Prices!F297)-1</f>
        <v>1.9189297854453669E-2</v>
      </c>
      <c r="G962">
        <f t="shared" ref="G962:G1025" si="60">B962*20%+C962*20%+D962*20%+E962*20%+F962*20%</f>
        <v>9.1488257717470718E-3</v>
      </c>
      <c r="H962" s="8">
        <f t="shared" si="59"/>
        <v>717659.91420254216</v>
      </c>
      <c r="I962" s="8">
        <f t="shared" ref="I962:I1025" si="61">MAX(I961,H962)</f>
        <v>1067100.1647020529</v>
      </c>
      <c r="J962" s="13">
        <f t="shared" ref="J962:J1025" si="62">(H962-I962)/I962</f>
        <v>-0.32746715074969429</v>
      </c>
    </row>
    <row r="963" spans="1:10" x14ac:dyDescent="0.25">
      <c r="A963" s="6">
        <v>45859</v>
      </c>
      <c r="B963">
        <f>(Prices!B297/Prices!B296)-1</f>
        <v>-2.6499155405405483E-2</v>
      </c>
      <c r="C963">
        <f>(Prices!C297/Prices!C296)-1</f>
        <v>-1.9799235749462518E-5</v>
      </c>
      <c r="D963">
        <f>(Prices!D297/Prices!D296)-1</f>
        <v>-2.5951557093426558E-3</v>
      </c>
      <c r="E963">
        <f>(Prices!E297/Prices!E296)-1</f>
        <v>1.0157262442647141E-3</v>
      </c>
      <c r="F963">
        <f>(Prices!F297/Prices!F296)-1</f>
        <v>1.7942145734162196E-3</v>
      </c>
      <c r="G963">
        <f t="shared" si="60"/>
        <v>-5.2608339065633343E-3</v>
      </c>
      <c r="H963" s="8">
        <f t="shared" si="59"/>
        <v>713884.42459252407</v>
      </c>
      <c r="I963" s="8">
        <f t="shared" si="61"/>
        <v>1067100.1647020529</v>
      </c>
      <c r="J963" s="13">
        <f t="shared" si="62"/>
        <v>-0.33100523436630797</v>
      </c>
    </row>
    <row r="964" spans="1:10" x14ac:dyDescent="0.25">
      <c r="A964" s="5">
        <v>45860</v>
      </c>
      <c r="B964">
        <f>(Prices!B296/Prices!B295)-1</f>
        <v>-6.4509361724445213E-3</v>
      </c>
      <c r="C964">
        <f>(Prices!C296/Prices!C295)-1</f>
        <v>9.4939238887112865E-3</v>
      </c>
      <c r="D964">
        <f>(Prices!D296/Prices!D295)-1</f>
        <v>-4.4971773036073248E-3</v>
      </c>
      <c r="E964">
        <f>(Prices!E296/Prices!E295)-1</f>
        <v>-1.5736466638690549E-3</v>
      </c>
      <c r="F964">
        <f>(Prices!F296/Prices!F295)-1</f>
        <v>-1.0471393891082981E-2</v>
      </c>
      <c r="G964">
        <f t="shared" si="60"/>
        <v>-2.6998460284585191E-3</v>
      </c>
      <c r="H964" s="8">
        <f t="shared" ref="H964:H1027" si="63">H963*(1+G964)</f>
        <v>711957.04656400951</v>
      </c>
      <c r="I964" s="8">
        <f t="shared" si="61"/>
        <v>1067100.1647020529</v>
      </c>
      <c r="J964" s="13">
        <f t="shared" si="62"/>
        <v>-0.33281141722736368</v>
      </c>
    </row>
    <row r="965" spans="1:10" x14ac:dyDescent="0.25">
      <c r="A965" s="6">
        <v>45861</v>
      </c>
      <c r="B965">
        <f>(Prices!B295/Prices!B294)-1</f>
        <v>5.8026058975575445E-3</v>
      </c>
      <c r="C965">
        <f>(Prices!C295/Prices!C294)-1</f>
        <v>-1.1977960552583822E-3</v>
      </c>
      <c r="D965">
        <f>(Prices!D295/Prices!D294)-1</f>
        <v>-1.2659423712801043E-2</v>
      </c>
      <c r="E965">
        <f>(Prices!E295/Prices!E294)-1</f>
        <v>-1.7960781620248056E-2</v>
      </c>
      <c r="F965">
        <f>(Prices!F295/Prices!F294)-1</f>
        <v>-2.5252525252525193E-2</v>
      </c>
      <c r="G965">
        <f t="shared" si="60"/>
        <v>-1.0253584148655025E-2</v>
      </c>
      <c r="H965" s="8">
        <f t="shared" si="63"/>
        <v>704656.93507683754</v>
      </c>
      <c r="I965" s="8">
        <f t="shared" si="61"/>
        <v>1067100.1647020529</v>
      </c>
      <c r="J965" s="13">
        <f t="shared" si="62"/>
        <v>-0.3396524915038448</v>
      </c>
    </row>
    <row r="966" spans="1:10" x14ac:dyDescent="0.25">
      <c r="A966" s="5">
        <v>45862</v>
      </c>
      <c r="B966">
        <f>(Prices!B294/Prices!B293)-1</f>
        <v>-1.0078328981723228E-2</v>
      </c>
      <c r="C966">
        <f>(Prices!C294/Prices!C293)-1</f>
        <v>-9.8046967660314621E-3</v>
      </c>
      <c r="D966">
        <f>(Prices!D294/Prices!D293)-1</f>
        <v>-7.7802774653169537E-3</v>
      </c>
      <c r="E966">
        <f>(Prices!E294/Prices!E293)-1</f>
        <v>7.2169908584784892E-4</v>
      </c>
      <c r="F966">
        <f>(Prices!F294/Prices!F293)-1</f>
        <v>5.0027813832746126E-2</v>
      </c>
      <c r="G966">
        <f t="shared" si="60"/>
        <v>4.6172419411044663E-3</v>
      </c>
      <c r="H966" s="8">
        <f t="shared" si="63"/>
        <v>707910.50663156458</v>
      </c>
      <c r="I966" s="8">
        <f t="shared" si="61"/>
        <v>1067100.1647020529</v>
      </c>
      <c r="J966" s="13">
        <f t="shared" si="62"/>
        <v>-0.33660350729191235</v>
      </c>
    </row>
    <row r="967" spans="1:10" x14ac:dyDescent="0.25">
      <c r="A967" s="6">
        <v>45863</v>
      </c>
      <c r="B967">
        <f>(Prices!B293/Prices!B292)-1</f>
        <v>-5.2464807023011595E-3</v>
      </c>
      <c r="C967">
        <f>(Prices!C293/Prices!C292)-1</f>
        <v>-5.5044428717464511E-3</v>
      </c>
      <c r="D967">
        <f>(Prices!D293/Prices!D292)-1</f>
        <v>3.5747883349013243E-3</v>
      </c>
      <c r="E967">
        <f>(Prices!E293/Prices!E292)-1</f>
        <v>-6.9280911914267884E-3</v>
      </c>
      <c r="F967">
        <f>(Prices!F293/Prices!F292)-1</f>
        <v>-8.8219077375483179E-3</v>
      </c>
      <c r="G967">
        <f t="shared" si="60"/>
        <v>-4.5852268336242785E-3</v>
      </c>
      <c r="H967" s="8">
        <f t="shared" si="63"/>
        <v>704664.57638075296</v>
      </c>
      <c r="I967" s="8">
        <f t="shared" si="61"/>
        <v>1067100.1647020529</v>
      </c>
      <c r="J967" s="13">
        <f t="shared" si="62"/>
        <v>-0.33964533069160974</v>
      </c>
    </row>
    <row r="968" spans="1:10" x14ac:dyDescent="0.25">
      <c r="A968" s="5">
        <v>45866</v>
      </c>
      <c r="B968">
        <f>(Prices!B292/Prices!B291)-1</f>
        <v>3.1264655307174927E-3</v>
      </c>
      <c r="C968">
        <f>(Prices!C292/Prices!C291)-1</f>
        <v>2.3646252069047247E-3</v>
      </c>
      <c r="D968">
        <f>(Prices!D292/Prices!D291)-1</f>
        <v>-9.3196644920783278E-3</v>
      </c>
      <c r="E968">
        <f>(Prices!E292/Prices!E291)-1</f>
        <v>1.1275112751127914E-3</v>
      </c>
      <c r="F968">
        <f>(Prices!F292/Prices!F291)-1</f>
        <v>-3.771788486890193E-3</v>
      </c>
      <c r="G968">
        <f t="shared" si="60"/>
        <v>-1.2945701932467026E-3</v>
      </c>
      <c r="H968" s="8">
        <f t="shared" si="63"/>
        <v>703752.33862393361</v>
      </c>
      <c r="I968" s="8">
        <f t="shared" si="61"/>
        <v>1067100.1647020529</v>
      </c>
      <c r="J968" s="13">
        <f t="shared" si="62"/>
        <v>-0.34050020616346766</v>
      </c>
    </row>
    <row r="969" spans="1:10" x14ac:dyDescent="0.25">
      <c r="A969" s="6">
        <v>45867</v>
      </c>
      <c r="B969">
        <f>(Prices!B291/Prices!B290)-1</f>
        <v>-1.6199313067104093E-2</v>
      </c>
      <c r="C969">
        <f>(Prices!C291/Prices!C290)-1</f>
        <v>-1.37917446557001E-4</v>
      </c>
      <c r="D969">
        <f>(Prices!D291/Prices!D290)-1</f>
        <v>-1.2788665010580513E-2</v>
      </c>
      <c r="E969">
        <f>(Prices!E291/Prices!E290)-1</f>
        <v>4.1858230975091448E-3</v>
      </c>
      <c r="F969">
        <f>(Prices!F291/Prices!F290)-1</f>
        <v>8.0648990898298356E-2</v>
      </c>
      <c r="G969">
        <f t="shared" si="60"/>
        <v>1.1141783694313179E-2</v>
      </c>
      <c r="H969" s="8">
        <f t="shared" si="63"/>
        <v>711593.39495524857</v>
      </c>
      <c r="I969" s="8">
        <f t="shared" si="61"/>
        <v>1067100.1647020529</v>
      </c>
      <c r="J969" s="13">
        <f t="shared" si="62"/>
        <v>-0.33315220211409685</v>
      </c>
    </row>
    <row r="970" spans="1:10" x14ac:dyDescent="0.25">
      <c r="A970" s="5">
        <v>45868</v>
      </c>
      <c r="B970">
        <f>(Prices!B290/Prices!B289)-1</f>
        <v>-3.9826397753383036E-3</v>
      </c>
      <c r="C970">
        <f>(Prices!C290/Prices!C289)-1</f>
        <v>-1.3183267089056372E-3</v>
      </c>
      <c r="D970">
        <f>(Prices!D290/Prices!D289)-1</f>
        <v>8.723897911832923E-3</v>
      </c>
      <c r="E970">
        <f>(Prices!E290/Prices!E289)-1</f>
        <v>-8.6731743818238005E-3</v>
      </c>
      <c r="F970">
        <f>(Prices!F290/Prices!F289)-1</f>
        <v>-1.8716992854923897E-2</v>
      </c>
      <c r="G970">
        <f t="shared" si="60"/>
        <v>-4.7934471618317435E-3</v>
      </c>
      <c r="H970" s="8">
        <f t="shared" si="63"/>
        <v>708182.40961582214</v>
      </c>
      <c r="I970" s="8">
        <f t="shared" si="61"/>
        <v>1067100.1647020529</v>
      </c>
      <c r="J970" s="13">
        <f t="shared" si="62"/>
        <v>-0.33634870179824677</v>
      </c>
    </row>
    <row r="971" spans="1:10" x14ac:dyDescent="0.25">
      <c r="A971" s="6">
        <v>45869</v>
      </c>
      <c r="B971">
        <f>(Prices!B289/Prices!B288)-1</f>
        <v>2.4159389217172977E-2</v>
      </c>
      <c r="C971">
        <f>(Prices!C289/Prices!C288)-1</f>
        <v>-3.7972287423336026E-2</v>
      </c>
      <c r="D971">
        <f>(Prices!D289/Prices!D288)-1</f>
        <v>2.3255813953488857E-3</v>
      </c>
      <c r="E971">
        <f>(Prices!E289/Prices!E288)-1</f>
        <v>1.1455896518508313E-2</v>
      </c>
      <c r="F971">
        <f>(Prices!F289/Prices!F288)-1</f>
        <v>6.6070541480377498E-2</v>
      </c>
      <c r="G971">
        <f t="shared" si="60"/>
        <v>1.3207824237614329E-2</v>
      </c>
      <c r="H971" s="8">
        <f t="shared" si="63"/>
        <v>717535.9584101981</v>
      </c>
      <c r="I971" s="8">
        <f t="shared" si="61"/>
        <v>1067100.1647020529</v>
      </c>
      <c r="J971" s="13">
        <f t="shared" si="62"/>
        <v>-0.32758331209653346</v>
      </c>
    </row>
    <row r="972" spans="1:10" x14ac:dyDescent="0.25">
      <c r="A972" s="5">
        <v>45870</v>
      </c>
      <c r="B972">
        <f>(Prices!B288/Prices!B287)-1</f>
        <v>1.4644240462672986E-2</v>
      </c>
      <c r="C972">
        <f>(Prices!C288/Prices!C287)-1</f>
        <v>1.7919765694246248E-2</v>
      </c>
      <c r="D972">
        <f>(Prices!D288/Prices!D287)-1</f>
        <v>1.8281708818793208E-2</v>
      </c>
      <c r="E972">
        <f>(Prices!E288/Prices!E287)-1</f>
        <v>2.3737409311826552E-2</v>
      </c>
      <c r="F972">
        <f>(Prices!F288/Prices!F287)-1</f>
        <v>4.9576363241364385E-2</v>
      </c>
      <c r="G972">
        <f t="shared" si="60"/>
        <v>2.4831897505780676E-2</v>
      </c>
      <c r="H972" s="8">
        <f t="shared" si="63"/>
        <v>735353.73778615217</v>
      </c>
      <c r="I972" s="8">
        <f t="shared" si="61"/>
        <v>1067100.1647020529</v>
      </c>
      <c r="J972" s="13">
        <f t="shared" si="62"/>
        <v>-0.31088592982133811</v>
      </c>
    </row>
    <row r="973" spans="1:10" x14ac:dyDescent="0.25">
      <c r="A973" s="6">
        <v>45873</v>
      </c>
      <c r="B973">
        <f>(Prices!B287/Prices!B286)-1</f>
        <v>-3.0304589421691785E-2</v>
      </c>
      <c r="C973">
        <f>(Prices!C287/Prices!C286)-1</f>
        <v>-2.1530920060331749E-2</v>
      </c>
      <c r="D973">
        <f>(Prices!D287/Prices!D286)-1</f>
        <v>2.118398142774236E-2</v>
      </c>
      <c r="E973">
        <f>(Prices!E287/Prices!E286)-1</f>
        <v>-1.6623952344669957E-2</v>
      </c>
      <c r="F973">
        <f>(Prices!F287/Prices!F286)-1</f>
        <v>-1.3332761725113551E-2</v>
      </c>
      <c r="G973">
        <f t="shared" si="60"/>
        <v>-1.2121648424812937E-2</v>
      </c>
      <c r="H973" s="8">
        <f t="shared" si="63"/>
        <v>726440.0383088364</v>
      </c>
      <c r="I973" s="8">
        <f t="shared" si="61"/>
        <v>1067100.1647020529</v>
      </c>
      <c r="J973" s="13">
        <f t="shared" si="62"/>
        <v>-0.31923912830463569</v>
      </c>
    </row>
    <row r="974" spans="1:10" x14ac:dyDescent="0.25">
      <c r="A974" s="5">
        <v>45874</v>
      </c>
      <c r="B974">
        <f>(Prices!B286/Prices!B285)-1</f>
        <v>1.9073148100416937E-3</v>
      </c>
      <c r="C974">
        <f>(Prices!C286/Prices!C285)-1</f>
        <v>1.4964216005204811E-2</v>
      </c>
      <c r="D974">
        <f>(Prices!D286/Prices!D285)-1</f>
        <v>1.1621150493899002E-3</v>
      </c>
      <c r="E974">
        <f>(Prices!E286/Prices!E285)-1</f>
        <v>9.9335431969220789E-3</v>
      </c>
      <c r="F974">
        <f>(Prices!F286/Prices!F285)-1</f>
        <v>-3.9924267369114363E-2</v>
      </c>
      <c r="G974">
        <f t="shared" si="60"/>
        <v>-2.3914156615111766E-3</v>
      </c>
      <c r="H974" s="8">
        <f t="shared" si="63"/>
        <v>724702.81822407595</v>
      </c>
      <c r="I974" s="8">
        <f t="shared" si="61"/>
        <v>1067100.1647020529</v>
      </c>
      <c r="J974" s="13">
        <f t="shared" si="62"/>
        <v>-0.32086711051495193</v>
      </c>
    </row>
    <row r="975" spans="1:10" x14ac:dyDescent="0.25">
      <c r="A975" s="6">
        <v>45875</v>
      </c>
      <c r="B975">
        <f>(Prices!B285/Prices!B284)-1</f>
        <v>-7.2667724272043044E-3</v>
      </c>
      <c r="C975">
        <f>(Prices!C285/Prices!C284)-1</f>
        <v>5.3482108503271064E-3</v>
      </c>
      <c r="D975">
        <f>(Prices!D285/Prices!D284)-1</f>
        <v>6.8252730109203963E-3</v>
      </c>
      <c r="E975">
        <f>(Prices!E285/Prices!E284)-1</f>
        <v>6.9959423534271536E-5</v>
      </c>
      <c r="F975">
        <f>(Prices!F285/Prices!F284)-1</f>
        <v>2.1269440941572126E-2</v>
      </c>
      <c r="G975">
        <f t="shared" si="60"/>
        <v>5.2492223598299198E-3</v>
      </c>
      <c r="H975" s="8">
        <f t="shared" si="63"/>
        <v>728506.94446172949</v>
      </c>
      <c r="I975" s="8">
        <f t="shared" si="61"/>
        <v>1067100.1647020529</v>
      </c>
      <c r="J975" s="13">
        <f t="shared" si="62"/>
        <v>-0.31730219096617113</v>
      </c>
    </row>
    <row r="976" spans="1:10" x14ac:dyDescent="0.25">
      <c r="A976" s="5">
        <v>45876</v>
      </c>
      <c r="B976">
        <f>(Prices!B284/Prices!B283)-1</f>
        <v>-2.1956699346405983E-3</v>
      </c>
      <c r="C976">
        <f>(Prices!C284/Prices!C283)-1</f>
        <v>7.8721836584323412E-3</v>
      </c>
      <c r="D976">
        <f>(Prices!D284/Prices!D283)-1</f>
        <v>5.2930797882768665E-3</v>
      </c>
      <c r="E976">
        <f>(Prices!E284/Prices!E283)-1</f>
        <v>1.5379151127685953E-2</v>
      </c>
      <c r="F976">
        <f>(Prices!F284/Prices!F283)-1</f>
        <v>4.5180086982223866E-3</v>
      </c>
      <c r="G976">
        <f t="shared" si="60"/>
        <v>6.1733506675953906E-3</v>
      </c>
      <c r="H976" s="8">
        <f t="shared" si="63"/>
        <v>733004.27329367015</v>
      </c>
      <c r="I976" s="8">
        <f t="shared" si="61"/>
        <v>1067100.1647020529</v>
      </c>
      <c r="J976" s="13">
        <f t="shared" si="62"/>
        <v>-0.31308765799100624</v>
      </c>
    </row>
    <row r="977" spans="1:10" x14ac:dyDescent="0.25">
      <c r="A977" s="6">
        <v>45877</v>
      </c>
      <c r="B977">
        <f>(Prices!B283/Prices!B282)-1</f>
        <v>-2.4312475089677155E-2</v>
      </c>
      <c r="C977">
        <f>(Prices!C283/Prices!C282)-1</f>
        <v>-2.3020525022728888E-3</v>
      </c>
      <c r="D977">
        <f>(Prices!D283/Prices!D282)-1</f>
        <v>-7.8770786735388176E-3</v>
      </c>
      <c r="E977">
        <f>(Prices!E283/Prices!E282)-1</f>
        <v>-6.3174984118019584E-3</v>
      </c>
      <c r="F977">
        <f>(Prices!F283/Prices!F282)-1</f>
        <v>-2.478896438130529E-2</v>
      </c>
      <c r="G977">
        <f t="shared" si="60"/>
        <v>-1.3119613811719222E-2</v>
      </c>
      <c r="H977" s="8">
        <f t="shared" si="63"/>
        <v>723387.54030571727</v>
      </c>
      <c r="I977" s="8">
        <f t="shared" si="61"/>
        <v>1067100.1647020529</v>
      </c>
      <c r="J977" s="13">
        <f t="shared" si="62"/>
        <v>-0.32209968264066791</v>
      </c>
    </row>
    <row r="978" spans="1:10" x14ac:dyDescent="0.25">
      <c r="A978" s="5">
        <v>45880</v>
      </c>
      <c r="B978">
        <f>(Prices!B282/Prices!B281)-1</f>
        <v>2.0968547179229802E-3</v>
      </c>
      <c r="C978">
        <f>(Prices!C282/Prices!C281)-1</f>
        <v>5.2258738822441586E-4</v>
      </c>
      <c r="D978">
        <f>(Prices!D282/Prices!D281)-1</f>
        <v>9.1265947006868853E-3</v>
      </c>
      <c r="E978">
        <f>(Prices!E282/Prices!E281)-1</f>
        <v>-2.7453188793468142E-3</v>
      </c>
      <c r="F978">
        <f>(Prices!F282/Prices!F281)-1</f>
        <v>-5.8539381038152927E-3</v>
      </c>
      <c r="G978">
        <f t="shared" si="60"/>
        <v>6.2935596473443498E-4</v>
      </c>
      <c r="H978" s="8">
        <f t="shared" si="63"/>
        <v>723842.80856902315</v>
      </c>
      <c r="I978" s="8">
        <f t="shared" si="61"/>
        <v>1067100.1647020529</v>
      </c>
      <c r="J978" s="13">
        <f t="shared" si="62"/>
        <v>-0.32167304203244251</v>
      </c>
    </row>
    <row r="979" spans="1:10" x14ac:dyDescent="0.25">
      <c r="A979" s="6">
        <v>45881</v>
      </c>
      <c r="B979">
        <f>(Prices!B281/Prices!B280)-1</f>
        <v>-1.149879089966932E-2</v>
      </c>
      <c r="C979">
        <f>(Prices!C281/Prices!C280)-1</f>
        <v>-1.4120520551081928E-2</v>
      </c>
      <c r="D979">
        <f>(Prices!D281/Prices!D280)-1</f>
        <v>-2.8378510617476094E-3</v>
      </c>
      <c r="E979">
        <f>(Prices!E281/Prices!E280)-1</f>
        <v>-1.1240647294240569E-2</v>
      </c>
      <c r="F979">
        <f>(Prices!F281/Prices!F280)-1</f>
        <v>-3.5190963308187495E-2</v>
      </c>
      <c r="G979">
        <f t="shared" si="60"/>
        <v>-1.4977754622985385E-2</v>
      </c>
      <c r="H979" s="8">
        <f t="shared" si="63"/>
        <v>713001.26859666372</v>
      </c>
      <c r="I979" s="8">
        <f t="shared" si="61"/>
        <v>1067100.1647020529</v>
      </c>
      <c r="J979" s="13">
        <f t="shared" si="62"/>
        <v>-0.3318328567630367</v>
      </c>
    </row>
    <row r="980" spans="1:10" x14ac:dyDescent="0.25">
      <c r="A980" s="5">
        <v>45882</v>
      </c>
      <c r="B980">
        <f>(Prices!B280/Prices!B279)-1</f>
        <v>6.8071151744013569E-3</v>
      </c>
      <c r="C980">
        <f>(Prices!C280/Prices!C279)-1</f>
        <v>1.6644680685962365E-2</v>
      </c>
      <c r="D980">
        <f>(Prices!D280/Prices!D279)-1</f>
        <v>-1.3705240806871966E-2</v>
      </c>
      <c r="E980">
        <f>(Prices!E280/Prices!E279)-1</f>
        <v>7.9626771432581567E-3</v>
      </c>
      <c r="F980">
        <f>(Prices!F280/Prices!F279)-1</f>
        <v>-3.7666286583048381E-2</v>
      </c>
      <c r="G980">
        <f t="shared" si="60"/>
        <v>-3.9914108772596936E-3</v>
      </c>
      <c r="H980" s="8">
        <f t="shared" si="63"/>
        <v>710155.38757768704</v>
      </c>
      <c r="I980" s="8">
        <f t="shared" si="61"/>
        <v>1067100.1647020529</v>
      </c>
      <c r="J980" s="13">
        <f t="shared" si="62"/>
        <v>-0.33449978636638028</v>
      </c>
    </row>
    <row r="981" spans="1:10" x14ac:dyDescent="0.25">
      <c r="A981" s="6">
        <v>45883</v>
      </c>
      <c r="B981">
        <f>(Prices!B279/Prices!B278)-1</f>
        <v>-4.796518815210371E-3</v>
      </c>
      <c r="C981">
        <f>(Prices!C279/Prices!C278)-1</f>
        <v>-3.6530915978892908E-3</v>
      </c>
      <c r="D981">
        <f>(Prices!D279/Prices!D278)-1</f>
        <v>2.1278653641552125E-3</v>
      </c>
      <c r="E981">
        <f>(Prices!E279/Prices!E278)-1</f>
        <v>-1.2333702882483366E-2</v>
      </c>
      <c r="F981">
        <f>(Prices!F279/Prices!F278)-1</f>
        <v>1.179649149511075E-3</v>
      </c>
      <c r="G981">
        <f t="shared" si="60"/>
        <v>-3.4951597563833486E-3</v>
      </c>
      <c r="H981" s="8">
        <f t="shared" si="63"/>
        <v>707673.28104624664</v>
      </c>
      <c r="I981" s="8">
        <f t="shared" si="61"/>
        <v>1067100.1647020529</v>
      </c>
      <c r="J981" s="13">
        <f t="shared" si="62"/>
        <v>-0.33682581593093708</v>
      </c>
    </row>
    <row r="982" spans="1:10" x14ac:dyDescent="0.25">
      <c r="A982" s="5">
        <v>45884</v>
      </c>
      <c r="B982">
        <f>(Prices!B278/Prices!B277)-1</f>
        <v>-4.7246419607264167E-3</v>
      </c>
      <c r="C982">
        <f>(Prices!C278/Prices!C277)-1</f>
        <v>4.4459113147472529E-3</v>
      </c>
      <c r="D982">
        <f>(Prices!D278/Prices!D277)-1</f>
        <v>-9.6627693496953437E-4</v>
      </c>
      <c r="E982">
        <f>(Prices!E278/Prices!E277)-1</f>
        <v>1.2629806342969285E-2</v>
      </c>
      <c r="F982">
        <f>(Prices!F278/Prices!F277)-1</f>
        <v>-0.10697658612838534</v>
      </c>
      <c r="G982">
        <f t="shared" si="60"/>
        <v>-1.9118357473272955E-2</v>
      </c>
      <c r="H982" s="8">
        <f t="shared" si="63"/>
        <v>694143.73028492054</v>
      </c>
      <c r="I982" s="8">
        <f t="shared" si="61"/>
        <v>1067100.1647020529</v>
      </c>
      <c r="J982" s="13">
        <f t="shared" si="62"/>
        <v>-0.34950461704901553</v>
      </c>
    </row>
    <row r="983" spans="1:10" x14ac:dyDescent="0.25">
      <c r="A983" s="6">
        <v>45887</v>
      </c>
      <c r="B983">
        <f>(Prices!B277/Prices!B276)-1</f>
        <v>1.9724838502885866E-3</v>
      </c>
      <c r="C983">
        <f>(Prices!C277/Prices!C276)-1</f>
        <v>5.9370361690493922E-3</v>
      </c>
      <c r="D983">
        <f>(Prices!D277/Prices!D276)-1</f>
        <v>-2.1212997782277254E-3</v>
      </c>
      <c r="E983">
        <f>(Prices!E277/Prices!E276)-1</f>
        <v>-3.5656855205200566E-3</v>
      </c>
      <c r="F983">
        <f>(Prices!F277/Prices!F276)-1</f>
        <v>-1.4501004688546648E-2</v>
      </c>
      <c r="G983">
        <f t="shared" si="60"/>
        <v>-2.4556939935912905E-3</v>
      </c>
      <c r="H983" s="8">
        <f t="shared" si="63"/>
        <v>692439.12569577084</v>
      </c>
      <c r="I983" s="8">
        <f t="shared" si="61"/>
        <v>1067100.1647020529</v>
      </c>
      <c r="J983" s="13">
        <f t="shared" si="62"/>
        <v>-0.35110203465378709</v>
      </c>
    </row>
    <row r="984" spans="1:10" x14ac:dyDescent="0.25">
      <c r="A984" s="5">
        <v>45888</v>
      </c>
      <c r="B984">
        <f>(Prices!B276/Prices!B275)-1</f>
        <v>9.5584208692187644E-3</v>
      </c>
      <c r="C984">
        <f>(Prices!C276/Prices!C275)-1</f>
        <v>1.438250326875079E-2</v>
      </c>
      <c r="D984">
        <f>(Prices!D276/Prices!D275)-1</f>
        <v>-6.5140339112942369E-3</v>
      </c>
      <c r="E984">
        <f>(Prices!E276/Prices!E275)-1</f>
        <v>3.0154277699860899E-3</v>
      </c>
      <c r="F984">
        <f>(Prices!F276/Prices!F275)-1</f>
        <v>1.3956331284593837E-2</v>
      </c>
      <c r="G984">
        <f t="shared" si="60"/>
        <v>6.8797298562510503E-3</v>
      </c>
      <c r="H984" s="8">
        <f t="shared" si="63"/>
        <v>697202.91982245643</v>
      </c>
      <c r="I984" s="8">
        <f t="shared" si="61"/>
        <v>1067100.1647020529</v>
      </c>
      <c r="J984" s="13">
        <f t="shared" si="62"/>
        <v>-0.34663779194793415</v>
      </c>
    </row>
    <row r="985" spans="1:10" x14ac:dyDescent="0.25">
      <c r="A985" s="6">
        <v>45889</v>
      </c>
      <c r="B985">
        <f>(Prices!B275/Prices!B274)-1</f>
        <v>1.1277249156723679E-2</v>
      </c>
      <c r="C985">
        <f>(Prices!C275/Prices!C274)-1</f>
        <v>8.0076681909859726E-3</v>
      </c>
      <c r="D985">
        <f>(Prices!D275/Prices!D274)-1</f>
        <v>-1.0239878638475419E-2</v>
      </c>
      <c r="E985">
        <f>(Prices!E275/Prices!E274)-1</f>
        <v>-5.4054054054054612E-3</v>
      </c>
      <c r="F985">
        <f>(Prices!F275/Prices!F274)-1</f>
        <v>1.4678013988905336E-2</v>
      </c>
      <c r="G985">
        <f t="shared" si="60"/>
        <v>3.6635294585468216E-3</v>
      </c>
      <c r="H985" s="8">
        <f t="shared" si="63"/>
        <v>699757.14325781085</v>
      </c>
      <c r="I985" s="8">
        <f t="shared" si="61"/>
        <v>1067100.1647020529</v>
      </c>
      <c r="J985" s="13">
        <f t="shared" si="62"/>
        <v>-0.34424418025163422</v>
      </c>
    </row>
    <row r="986" spans="1:10" x14ac:dyDescent="0.25">
      <c r="A986" s="5">
        <v>45890</v>
      </c>
      <c r="B986">
        <f>(Prices!B274/Prices!B273)-1</f>
        <v>-2.1100226073851314E-3</v>
      </c>
      <c r="C986">
        <f>(Prices!C274/Prices!C273)-1</f>
        <v>1.2796672865054148E-3</v>
      </c>
      <c r="D986">
        <f>(Prices!D274/Prices!D273)-1</f>
        <v>-6.4060292039567202E-3</v>
      </c>
      <c r="E986">
        <f>(Prices!E274/Prices!E273)-1</f>
        <v>2.622377622377714E-3</v>
      </c>
      <c r="F986">
        <f>(Prices!F274/Prices!F273)-1</f>
        <v>-1.1579198310799232E-2</v>
      </c>
      <c r="G986">
        <f t="shared" si="60"/>
        <v>-3.238641042651591E-3</v>
      </c>
      <c r="H986" s="8">
        <f t="shared" si="63"/>
        <v>697490.88105376752</v>
      </c>
      <c r="I986" s="8">
        <f t="shared" si="61"/>
        <v>1067100.1647020529</v>
      </c>
      <c r="J986" s="13">
        <f t="shared" si="62"/>
        <v>-0.34636793796342891</v>
      </c>
    </row>
    <row r="987" spans="1:10" x14ac:dyDescent="0.25">
      <c r="A987" s="6">
        <v>45891</v>
      </c>
      <c r="B987">
        <f>(Prices!B273/Prices!B272)-1</f>
        <v>-3.077372547110091E-2</v>
      </c>
      <c r="C987">
        <f>(Prices!C273/Prices!C272)-1</f>
        <v>-5.8836391102983221E-3</v>
      </c>
      <c r="D987">
        <f>(Prices!D273/Prices!D272)-1</f>
        <v>-1.8492834026814564E-2</v>
      </c>
      <c r="E987">
        <f>(Prices!E273/Prices!E272)-1</f>
        <v>-1.610017889087656E-2</v>
      </c>
      <c r="F987">
        <f>(Prices!F273/Prices!F272)-1</f>
        <v>-1.3240582047921445E-2</v>
      </c>
      <c r="G987">
        <f t="shared" si="60"/>
        <v>-1.6898191909402362E-2</v>
      </c>
      <c r="H987" s="8">
        <f t="shared" si="63"/>
        <v>685704.54629066284</v>
      </c>
      <c r="I987" s="8">
        <f t="shared" si="61"/>
        <v>1067100.1647020529</v>
      </c>
      <c r="J987" s="13">
        <f t="shared" si="62"/>
        <v>-0.35741313798586122</v>
      </c>
    </row>
    <row r="988" spans="1:10" x14ac:dyDescent="0.25">
      <c r="A988" s="5">
        <v>45894</v>
      </c>
      <c r="B988">
        <f>(Prices!B272/Prices!B271)-1</f>
        <v>-1.1503658067000266E-2</v>
      </c>
      <c r="C988">
        <f>(Prices!C272/Prices!C271)-1</f>
        <v>5.898348462430425E-3</v>
      </c>
      <c r="D988">
        <f>(Prices!D272/Prices!D271)-1</f>
        <v>-4.0519384842065964E-3</v>
      </c>
      <c r="E988">
        <f>(Prices!E272/Prices!E271)-1</f>
        <v>4.5617915399502884E-3</v>
      </c>
      <c r="F988">
        <f>(Prices!F272/Prices!F271)-1</f>
        <v>8.4042156630181886E-3</v>
      </c>
      <c r="G988">
        <f t="shared" si="60"/>
        <v>6.6175182283840801E-4</v>
      </c>
      <c r="H988" s="8">
        <f t="shared" si="63"/>
        <v>686158.31252409925</v>
      </c>
      <c r="I988" s="8">
        <f t="shared" si="61"/>
        <v>1067100.1647020529</v>
      </c>
      <c r="J988" s="13">
        <f t="shared" si="62"/>
        <v>-0.3569879049585914</v>
      </c>
    </row>
    <row r="989" spans="1:10" x14ac:dyDescent="0.25">
      <c r="A989" s="6">
        <v>45895</v>
      </c>
      <c r="B989">
        <f>(Prices!B271/Prices!B270)-1</f>
        <v>6.4916190291639531E-3</v>
      </c>
      <c r="C989">
        <f>(Prices!C271/Prices!C270)-1</f>
        <v>4.4182029963448777E-3</v>
      </c>
      <c r="D989">
        <f>(Prices!D271/Prices!D270)-1</f>
        <v>2.215043839409514E-3</v>
      </c>
      <c r="E989">
        <f>(Prices!E271/Prices!E270)-1</f>
        <v>-1.2322080759122112E-2</v>
      </c>
      <c r="F989">
        <f>(Prices!F271/Prices!F270)-1</f>
        <v>1.4752407152682112E-2</v>
      </c>
      <c r="G989">
        <f t="shared" si="60"/>
        <v>3.1110384516956691E-3</v>
      </c>
      <c r="H989" s="8">
        <f t="shared" si="63"/>
        <v>688292.97741831234</v>
      </c>
      <c r="I989" s="8">
        <f t="shared" si="61"/>
        <v>1067100.1647020529</v>
      </c>
      <c r="J989" s="13">
        <f t="shared" si="62"/>
        <v>-0.35498746960601218</v>
      </c>
    </row>
    <row r="990" spans="1:10" x14ac:dyDescent="0.25">
      <c r="A990" s="5">
        <v>45896</v>
      </c>
      <c r="B990">
        <f>(Prices!B270/Prices!B269)-1</f>
        <v>-1.6444186496421542E-3</v>
      </c>
      <c r="C990">
        <f>(Prices!C270/Prices!C269)-1</f>
        <v>-9.2717867091126616E-3</v>
      </c>
      <c r="D990">
        <f>(Prices!D270/Prices!D269)-1</f>
        <v>-1.1134434608013111E-2</v>
      </c>
      <c r="E990">
        <f>(Prices!E270/Prices!E269)-1</f>
        <v>-2.3496560648368359E-3</v>
      </c>
      <c r="F990">
        <f>(Prices!F270/Prices!F269)-1</f>
        <v>-1.1355137009587235E-2</v>
      </c>
      <c r="G990">
        <f t="shared" si="60"/>
        <v>-7.1510866082383998E-3</v>
      </c>
      <c r="H990" s="8">
        <f t="shared" si="63"/>
        <v>683370.93472495175</v>
      </c>
      <c r="I990" s="8">
        <f t="shared" si="61"/>
        <v>1067100.1647020529</v>
      </c>
      <c r="J990" s="13">
        <f t="shared" si="62"/>
        <v>-0.35960001007425857</v>
      </c>
    </row>
    <row r="991" spans="1:10" x14ac:dyDescent="0.25">
      <c r="A991" s="6">
        <v>45897</v>
      </c>
      <c r="B991">
        <f>(Prices!B269/Prices!B268)-1</f>
        <v>-1.963015647226185E-2</v>
      </c>
      <c r="C991">
        <f>(Prices!C269/Prices!C268)-1</f>
        <v>-5.6975547993985964E-3</v>
      </c>
      <c r="D991">
        <f>(Prices!D269/Prices!D268)-1</f>
        <v>-5.3558460421205822E-3</v>
      </c>
      <c r="E991">
        <f>(Prices!E269/Prices!E268)-1</f>
        <v>-5.9576196601448528E-3</v>
      </c>
      <c r="F991">
        <f>(Prices!F269/Prices!F268)-1</f>
        <v>5.2631578947366364E-3</v>
      </c>
      <c r="G991">
        <f t="shared" si="60"/>
        <v>-6.2756038158378489E-3</v>
      </c>
      <c r="H991" s="8">
        <f t="shared" si="63"/>
        <v>679082.36947935924</v>
      </c>
      <c r="I991" s="8">
        <f t="shared" si="61"/>
        <v>1067100.1647020529</v>
      </c>
      <c r="J991" s="13">
        <f t="shared" si="62"/>
        <v>-0.36361890669469898</v>
      </c>
    </row>
    <row r="992" spans="1:10" x14ac:dyDescent="0.25">
      <c r="A992" s="5">
        <v>45898</v>
      </c>
      <c r="B992">
        <f>(Prices!B268/Prices!B267)-1</f>
        <v>-5.9857661309327126E-3</v>
      </c>
      <c r="C992">
        <f>(Prices!C268/Prices!C267)-1</f>
        <v>5.8102515122573362E-3</v>
      </c>
      <c r="D992">
        <f>(Prices!D268/Prices!D267)-1</f>
        <v>-8.1930314216259736E-3</v>
      </c>
      <c r="E992">
        <f>(Prices!E268/Prices!E267)-1</f>
        <v>-1.1495807411413539E-3</v>
      </c>
      <c r="F992">
        <f>(Prices!F268/Prices!F267)-1</f>
        <v>-2.4471560978862383E-2</v>
      </c>
      <c r="G992">
        <f t="shared" si="60"/>
        <v>-6.797937552061018E-3</v>
      </c>
      <c r="H992" s="8">
        <f t="shared" si="63"/>
        <v>674466.00993893296</v>
      </c>
      <c r="I992" s="8">
        <f t="shared" si="61"/>
        <v>1067100.1647020529</v>
      </c>
      <c r="J992" s="13">
        <f t="shared" si="62"/>
        <v>-0.36794498562630074</v>
      </c>
    </row>
    <row r="993" spans="1:10" x14ac:dyDescent="0.25">
      <c r="A993" s="6">
        <v>45902</v>
      </c>
      <c r="B993">
        <f>(Prices!B267/Prices!B266)-1</f>
        <v>7.4070556953609312E-3</v>
      </c>
      <c r="C993">
        <f>(Prices!C267/Prices!C266)-1</f>
        <v>3.1137724550898138E-3</v>
      </c>
      <c r="D993">
        <f>(Prices!D267/Prices!D266)-1</f>
        <v>-3.4990130988695745E-3</v>
      </c>
      <c r="E993">
        <f>(Prices!E267/Prices!E266)-1</f>
        <v>5.7469310028224196E-3</v>
      </c>
      <c r="F993">
        <f>(Prices!F267/Prices!F266)-1</f>
        <v>3.4794245567080218E-3</v>
      </c>
      <c r="G993">
        <f t="shared" si="60"/>
        <v>3.2496341222223229E-3</v>
      </c>
      <c r="H993" s="8">
        <f t="shared" si="63"/>
        <v>676657.77769910963</v>
      </c>
      <c r="I993" s="8">
        <f t="shared" si="61"/>
        <v>1067100.1647020529</v>
      </c>
      <c r="J993" s="13">
        <f t="shared" si="62"/>
        <v>-0.36589103808447021</v>
      </c>
    </row>
    <row r="994" spans="1:10" x14ac:dyDescent="0.25">
      <c r="A994" s="5">
        <v>45903</v>
      </c>
      <c r="B994">
        <f>(Prices!B266/Prices!B265)-1</f>
        <v>-8.3746628382493693E-2</v>
      </c>
      <c r="C994">
        <f>(Prices!C266/Prices!C265)-1</f>
        <v>-4.5887117690479595E-4</v>
      </c>
      <c r="D994">
        <f>(Prices!D266/Prices!D265)-1</f>
        <v>2.4825303420374922E-2</v>
      </c>
      <c r="E994">
        <f>(Prices!E266/Prices!E265)-1</f>
        <v>6.1247405491848816E-4</v>
      </c>
      <c r="F994">
        <f>(Prices!F266/Prices!F265)-1</f>
        <v>2.9864769638601185E-3</v>
      </c>
      <c r="G994">
        <f t="shared" si="60"/>
        <v>-1.1156249024048992E-2</v>
      </c>
      <c r="H994" s="8">
        <f t="shared" si="63"/>
        <v>669108.8150270388</v>
      </c>
      <c r="I994" s="8">
        <f t="shared" si="61"/>
        <v>1067100.1647020529</v>
      </c>
      <c r="J994" s="13">
        <f t="shared" si="62"/>
        <v>-0.37296531557198109</v>
      </c>
    </row>
    <row r="995" spans="1:10" x14ac:dyDescent="0.25">
      <c r="A995" s="6">
        <v>45904</v>
      </c>
      <c r="B995">
        <f>(Prices!B265/Prices!B264)-1</f>
        <v>-7.0413408786555998E-3</v>
      </c>
      <c r="C995">
        <f>(Prices!C265/Prices!C264)-1</f>
        <v>-5.1407248620538581E-3</v>
      </c>
      <c r="D995">
        <f>(Prices!D265/Prices!D264)-1</f>
        <v>-4.3028472031493292E-3</v>
      </c>
      <c r="E995">
        <f>(Prices!E265/Prices!E264)-1</f>
        <v>-1.4188917214544516E-2</v>
      </c>
      <c r="F995">
        <f>(Prices!F265/Prices!F264)-1</f>
        <v>-8.0551209932431256E-3</v>
      </c>
      <c r="G995">
        <f t="shared" si="60"/>
        <v>-7.7457902303292867E-3</v>
      </c>
      <c r="H995" s="8">
        <f t="shared" si="63"/>
        <v>663926.03850457515</v>
      </c>
      <c r="I995" s="8">
        <f t="shared" si="61"/>
        <v>1067100.1647020529</v>
      </c>
      <c r="J995" s="13">
        <f t="shared" si="62"/>
        <v>-0.37782219470470124</v>
      </c>
    </row>
    <row r="996" spans="1:10" x14ac:dyDescent="0.25">
      <c r="A996" s="5">
        <v>45905</v>
      </c>
      <c r="B996">
        <f>(Prices!B264/Prices!B263)-1</f>
        <v>-1.1486890426167906E-2</v>
      </c>
      <c r="C996">
        <f>(Prices!C264/Prices!C263)-1</f>
        <v>2.6193579925044785E-2</v>
      </c>
      <c r="D996">
        <f>(Prices!D264/Prices!D263)-1</f>
        <v>2.9015544041450791E-2</v>
      </c>
      <c r="E996">
        <f>(Prices!E264/Prices!E263)-1</f>
        <v>3.2092781720616248E-2</v>
      </c>
      <c r="F996">
        <f>(Prices!F264/Prices!F263)-1</f>
        <v>-1.5887054507337406E-2</v>
      </c>
      <c r="G996">
        <f t="shared" si="60"/>
        <v>1.1985592150721303E-2</v>
      </c>
      <c r="H996" s="8">
        <f t="shared" si="63"/>
        <v>671883.58522033505</v>
      </c>
      <c r="I996" s="8">
        <f t="shared" si="61"/>
        <v>1067100.1647020529</v>
      </c>
      <c r="J996" s="13">
        <f t="shared" si="62"/>
        <v>-0.37036502528520093</v>
      </c>
    </row>
    <row r="997" spans="1:10" x14ac:dyDescent="0.25">
      <c r="A997" s="6">
        <v>45908</v>
      </c>
      <c r="B997">
        <f>(Prices!B263/Prices!B262)-1</f>
        <v>3.212954633080578E-3</v>
      </c>
      <c r="C997">
        <f>(Prices!C263/Prices!C262)-1</f>
        <v>-6.4153158075810346E-3</v>
      </c>
      <c r="D997">
        <f>(Prices!D263/Prices!D262)-1</f>
        <v>-5.7137504683402174E-3</v>
      </c>
      <c r="E997">
        <f>(Prices!E263/Prices!E262)-1</f>
        <v>5.0102640826692468E-3</v>
      </c>
      <c r="F997">
        <f>(Prices!F263/Prices!F262)-1</f>
        <v>-1.5194038517371666E-2</v>
      </c>
      <c r="G997">
        <f t="shared" si="60"/>
        <v>-3.8199772155086192E-3</v>
      </c>
      <c r="H997" s="8">
        <f t="shared" si="63"/>
        <v>669317.00523331913</v>
      </c>
      <c r="I997" s="8">
        <f t="shared" si="61"/>
        <v>1067100.1647020529</v>
      </c>
      <c r="J997" s="13">
        <f t="shared" si="62"/>
        <v>-0.37277021654269882</v>
      </c>
    </row>
    <row r="998" spans="1:10" x14ac:dyDescent="0.25">
      <c r="A998" s="5">
        <v>45909</v>
      </c>
      <c r="B998">
        <f>(Prices!B262/Prices!B261)-1</f>
        <v>-2.3346303501945442E-2</v>
      </c>
      <c r="C998">
        <f>(Prices!C262/Prices!C261)-1</f>
        <v>-4.2480883602369346E-4</v>
      </c>
      <c r="D998">
        <f>(Prices!D262/Prices!D261)-1</f>
        <v>-7.1607923370221593E-3</v>
      </c>
      <c r="E998">
        <f>(Prices!E262/Prices!E261)-1</f>
        <v>-1.6594812837883999E-2</v>
      </c>
      <c r="F998">
        <f>(Prices!F262/Prices!F261)-1</f>
        <v>-7.9520147281527342E-2</v>
      </c>
      <c r="G998">
        <f t="shared" si="60"/>
        <v>-2.540937295888053E-2</v>
      </c>
      <c r="H998" s="8">
        <f t="shared" si="63"/>
        <v>652310.07981962466</v>
      </c>
      <c r="I998" s="8">
        <f t="shared" si="61"/>
        <v>1067100.1647020529</v>
      </c>
      <c r="J998" s="13">
        <f t="shared" si="62"/>
        <v>-0.38870773204148329</v>
      </c>
    </row>
    <row r="999" spans="1:10" x14ac:dyDescent="0.25">
      <c r="A999" s="6">
        <v>45910</v>
      </c>
      <c r="B999">
        <f>(Prices!B261/Prices!B260)-1</f>
        <v>1.9283169146928625E-3</v>
      </c>
      <c r="C999">
        <f>(Prices!C261/Prices!C260)-1</f>
        <v>-3.9291543250922212E-3</v>
      </c>
      <c r="D999">
        <f>(Prices!D261/Prices!D260)-1</f>
        <v>-1.6463916582822646E-2</v>
      </c>
      <c r="E999">
        <f>(Prices!E261/Prices!E260)-1</f>
        <v>-8.9521871820955612E-3</v>
      </c>
      <c r="F999">
        <f>(Prices!F261/Prices!F260)-1</f>
        <v>3.2770280334850632E-3</v>
      </c>
      <c r="G999">
        <f t="shared" si="60"/>
        <v>-4.827982628366501E-3</v>
      </c>
      <c r="H999" s="8">
        <f t="shared" si="63"/>
        <v>649160.73808594712</v>
      </c>
      <c r="I999" s="8">
        <f t="shared" si="61"/>
        <v>1067100.1647020529</v>
      </c>
      <c r="J999" s="13">
        <f t="shared" si="62"/>
        <v>-0.39165904049204181</v>
      </c>
    </row>
    <row r="1000" spans="1:10" x14ac:dyDescent="0.25">
      <c r="A1000" s="5">
        <v>45911</v>
      </c>
      <c r="B1000">
        <f>(Prices!B260/Prices!B259)-1</f>
        <v>-5.0052137643378236E-3</v>
      </c>
      <c r="C1000">
        <f>(Prices!C260/Prices!C259)-1</f>
        <v>-1.2678097078000494E-3</v>
      </c>
      <c r="D1000">
        <f>(Prices!D260/Prices!D259)-1</f>
        <v>3.2115984584326629E-3</v>
      </c>
      <c r="E1000">
        <f>(Prices!E260/Prices!E259)-1</f>
        <v>-1.6409845907544574E-2</v>
      </c>
      <c r="F1000">
        <f>(Prices!F260/Prices!F259)-1</f>
        <v>-1.9311674652331301E-2</v>
      </c>
      <c r="G1000">
        <f t="shared" si="60"/>
        <v>-7.7565891147162169E-3</v>
      </c>
      <c r="H1000" s="8">
        <f t="shared" si="63"/>
        <v>644125.46497120848</v>
      </c>
      <c r="I1000" s="8">
        <f t="shared" si="61"/>
        <v>1067100.1647020529</v>
      </c>
      <c r="J1000" s="13">
        <f t="shared" si="62"/>
        <v>-0.39637769135659728</v>
      </c>
    </row>
    <row r="1001" spans="1:10" x14ac:dyDescent="0.25">
      <c r="A1001" s="6">
        <v>45912</v>
      </c>
      <c r="B1001">
        <f>(Prices!B259/Prices!B258)-1</f>
        <v>-1.7903239237239132E-3</v>
      </c>
      <c r="C1001">
        <f>(Prices!C259/Prices!C258)-1</f>
        <v>-1.7439791197057741E-2</v>
      </c>
      <c r="D1001">
        <f>(Prices!D259/Prices!D258)-1</f>
        <v>-1.8348623853203794E-4</v>
      </c>
      <c r="E1001">
        <f>(Prices!E259/Prices!E258)-1</f>
        <v>-4.4164037854889093E-3</v>
      </c>
      <c r="F1001">
        <f>(Prices!F259/Prices!F258)-1</f>
        <v>3.135898713402252E-3</v>
      </c>
      <c r="G1001">
        <f t="shared" si="60"/>
        <v>-4.13882128628007E-3</v>
      </c>
      <c r="H1001" s="8">
        <f t="shared" si="63"/>
        <v>641459.54478575056</v>
      </c>
      <c r="I1001" s="8">
        <f t="shared" si="61"/>
        <v>1067100.1647020529</v>
      </c>
      <c r="J1001" s="13">
        <f t="shared" si="62"/>
        <v>-0.39887597621648413</v>
      </c>
    </row>
    <row r="1002" spans="1:10" x14ac:dyDescent="0.25">
      <c r="A1002" s="5">
        <v>45915</v>
      </c>
      <c r="B1002">
        <f>(Prices!B258/Prices!B257)-1</f>
        <v>-4.2955052598023569E-2</v>
      </c>
      <c r="C1002">
        <f>(Prices!C258/Prices!C257)-1</f>
        <v>-1.0583977306074521E-2</v>
      </c>
      <c r="D1002">
        <f>(Prices!D258/Prices!D257)-1</f>
        <v>-1.7400860884696501E-3</v>
      </c>
      <c r="E1002">
        <f>(Prices!E258/Prices!E257)-1</f>
        <v>-6.4335202903333943E-3</v>
      </c>
      <c r="F1002">
        <f>(Prices!F258/Prices!F257)-1</f>
        <v>6.905302918523315E-3</v>
      </c>
      <c r="G1002">
        <f t="shared" si="60"/>
        <v>-1.0961466672875566E-2</v>
      </c>
      <c r="H1002" s="8">
        <f t="shared" si="63"/>
        <v>634428.20736358361</v>
      </c>
      <c r="I1002" s="8">
        <f t="shared" si="61"/>
        <v>1067100.1647020529</v>
      </c>
      <c r="J1002" s="13">
        <f t="shared" si="62"/>
        <v>-0.40546517716945202</v>
      </c>
    </row>
    <row r="1003" spans="1:10" x14ac:dyDescent="0.25">
      <c r="A1003" s="6">
        <v>45916</v>
      </c>
      <c r="B1003">
        <f>(Prices!B257/Prices!B256)-1</f>
        <v>1.7963354756298511E-3</v>
      </c>
      <c r="C1003">
        <f>(Prices!C257/Prices!C256)-1</f>
        <v>1.2398740319673474E-2</v>
      </c>
      <c r="D1003">
        <f>(Prices!D257/Prices!D256)-1</f>
        <v>-2.0278151637505681E-2</v>
      </c>
      <c r="E1003">
        <f>(Prices!E257/Prices!E256)-1</f>
        <v>-9.5586538778458241E-4</v>
      </c>
      <c r="F1003">
        <f>(Prices!F257/Prices!F256)-1</f>
        <v>2.3869232860984413E-2</v>
      </c>
      <c r="G1003">
        <f t="shared" si="60"/>
        <v>3.3660583261994948E-3</v>
      </c>
      <c r="H1003" s="8">
        <f t="shared" si="63"/>
        <v>636563.72971335554</v>
      </c>
      <c r="I1003" s="8">
        <f t="shared" si="61"/>
        <v>1067100.1647020529</v>
      </c>
      <c r="J1003" s="13">
        <f t="shared" si="62"/>
        <v>-0.4034639382788478</v>
      </c>
    </row>
    <row r="1004" spans="1:10" x14ac:dyDescent="0.25">
      <c r="A1004" s="5">
        <v>45917</v>
      </c>
      <c r="B1004">
        <f>(Prices!B256/Prices!B255)-1</f>
        <v>6.549341047894508E-3</v>
      </c>
      <c r="C1004">
        <f>(Prices!C256/Prices!C255)-1</f>
        <v>-1.9175265883841774E-3</v>
      </c>
      <c r="D1004">
        <f>(Prices!D256/Prices!D255)-1</f>
        <v>-5.2659764369867856E-3</v>
      </c>
      <c r="E1004">
        <f>(Prices!E256/Prices!E255)-1</f>
        <v>-8.2052958483164184E-3</v>
      </c>
      <c r="F1004">
        <f>(Prices!F256/Prices!F255)-1</f>
        <v>-5.3493613824191488E-3</v>
      </c>
      <c r="G1004">
        <f t="shared" si="60"/>
        <v>-2.8377638416424047E-3</v>
      </c>
      <c r="H1004" s="8">
        <f t="shared" si="63"/>
        <v>634757.31217827403</v>
      </c>
      <c r="I1004" s="8">
        <f t="shared" si="61"/>
        <v>1067100.1647020529</v>
      </c>
      <c r="J1004" s="13">
        <f t="shared" si="62"/>
        <v>-0.40515676674503576</v>
      </c>
    </row>
    <row r="1005" spans="1:10" x14ac:dyDescent="0.25">
      <c r="A1005" s="6">
        <v>45918</v>
      </c>
      <c r="B1005">
        <f>(Prices!B255/Prices!B254)-1</f>
        <v>-9.9451030312673883E-3</v>
      </c>
      <c r="C1005">
        <f>(Prices!C255/Prices!C254)-1</f>
        <v>3.0933967876263235E-3</v>
      </c>
      <c r="D1005">
        <f>(Prices!D255/Prices!D254)-1</f>
        <v>1.1921965317919225E-2</v>
      </c>
      <c r="E1005">
        <f>(Prices!E255/Prices!E254)-1</f>
        <v>-4.7177484952010129E-3</v>
      </c>
      <c r="F1005">
        <f>(Prices!F255/Prices!F254)-1</f>
        <v>2.0267369841172611E-2</v>
      </c>
      <c r="G1005">
        <f t="shared" si="60"/>
        <v>4.1239760840499516E-3</v>
      </c>
      <c r="H1005" s="8">
        <f t="shared" si="63"/>
        <v>637375.03615287307</v>
      </c>
      <c r="I1005" s="8">
        <f t="shared" si="61"/>
        <v>1067100.1647020529</v>
      </c>
      <c r="J1005" s="13">
        <f t="shared" si="62"/>
        <v>-0.40270364747733334</v>
      </c>
    </row>
    <row r="1006" spans="1:10" x14ac:dyDescent="0.25">
      <c r="A1006" s="5">
        <v>45919</v>
      </c>
      <c r="B1006">
        <f>(Prices!B254/Prices!B253)-1</f>
        <v>-1.0548689285995505E-2</v>
      </c>
      <c r="C1006">
        <f>(Prices!C254/Prices!C253)-1</f>
        <v>-1.8298617870352363E-2</v>
      </c>
      <c r="D1006">
        <f>(Prices!D254/Prices!D253)-1</f>
        <v>9.8504195549069529E-3</v>
      </c>
      <c r="E1006">
        <f>(Prices!E254/Prices!E253)-1</f>
        <v>-4.9211642438565795E-3</v>
      </c>
      <c r="F1006">
        <f>(Prices!F254/Prices!F253)-1</f>
        <v>-5.5494572508841822E-3</v>
      </c>
      <c r="G1006">
        <f t="shared" si="60"/>
        <v>-5.8935018192363357E-3</v>
      </c>
      <c r="H1006" s="8">
        <f t="shared" si="63"/>
        <v>633618.66521777026</v>
      </c>
      <c r="I1006" s="8">
        <f t="shared" si="61"/>
        <v>1067100.1647020529</v>
      </c>
      <c r="J1006" s="13">
        <f t="shared" si="62"/>
        <v>-0.40622381461754892</v>
      </c>
    </row>
    <row r="1007" spans="1:10" x14ac:dyDescent="0.25">
      <c r="A1007" s="6">
        <v>45922</v>
      </c>
      <c r="B1007">
        <f>(Prices!B253/Prices!B252)-1</f>
        <v>8.694961686584346E-3</v>
      </c>
      <c r="C1007">
        <f>(Prices!C253/Prices!C252)-1</f>
        <v>6.7613914747672865E-3</v>
      </c>
      <c r="D1007">
        <f>(Prices!D253/Prices!D252)-1</f>
        <v>7.1651662686018636E-3</v>
      </c>
      <c r="E1007">
        <f>(Prices!E253/Prices!E252)-1</f>
        <v>7.4695022506361397E-3</v>
      </c>
      <c r="F1007">
        <f>(Prices!F253/Prices!F252)-1</f>
        <v>-1.3505790344412683E-2</v>
      </c>
      <c r="G1007">
        <f t="shared" si="60"/>
        <v>3.3170462672353911E-3</v>
      </c>
      <c r="H1007" s="8">
        <f t="shared" si="63"/>
        <v>635720.40764608153</v>
      </c>
      <c r="I1007" s="8">
        <f t="shared" si="61"/>
        <v>1067100.1647020529</v>
      </c>
      <c r="J1007" s="13">
        <f t="shared" si="62"/>
        <v>-0.4042542315382528</v>
      </c>
    </row>
    <row r="1008" spans="1:10" x14ac:dyDescent="0.25">
      <c r="A1008" s="5">
        <v>45923</v>
      </c>
      <c r="B1008">
        <f>(Prices!B252/Prices!B251)-1</f>
        <v>3.4261583203856194E-3</v>
      </c>
      <c r="C1008">
        <f>(Prices!C252/Prices!C251)-1</f>
        <v>1.0256004118241124E-2</v>
      </c>
      <c r="D1008">
        <f>(Prices!D252/Prices!D251)-1</f>
        <v>-1.6976702185298898E-2</v>
      </c>
      <c r="E1008">
        <f>(Prices!E252/Prices!E251)-1</f>
        <v>-9.4502558086495547E-4</v>
      </c>
      <c r="F1008">
        <f>(Prices!F252/Prices!F251)-1</f>
        <v>-1.8365960964951245E-2</v>
      </c>
      <c r="G1008">
        <f t="shared" si="60"/>
        <v>-4.5211052584976704E-3</v>
      </c>
      <c r="H1008" s="8">
        <f t="shared" si="63"/>
        <v>632846.24876813858</v>
      </c>
      <c r="I1008" s="8">
        <f t="shared" si="61"/>
        <v>1067100.1647020529</v>
      </c>
      <c r="J1008" s="13">
        <f t="shared" si="62"/>
        <v>-0.40694766086477291</v>
      </c>
    </row>
    <row r="1009" spans="1:10" x14ac:dyDescent="0.25">
      <c r="A1009" s="6">
        <v>45924</v>
      </c>
      <c r="B1009">
        <f>(Prices!B251/Prices!B250)-1</f>
        <v>1.8296146044624706E-2</v>
      </c>
      <c r="C1009">
        <f>(Prices!C251/Prices!C250)-1</f>
        <v>-1.8182177513389464E-3</v>
      </c>
      <c r="D1009">
        <f>(Prices!D251/Prices!D250)-1</f>
        <v>-5.299559867061876E-3</v>
      </c>
      <c r="E1009">
        <f>(Prices!E251/Prices!E250)-1</f>
        <v>-2.1785783963061967E-3</v>
      </c>
      <c r="F1009">
        <f>(Prices!F251/Prices!F250)-1</f>
        <v>-1.1730718725378564E-2</v>
      </c>
      <c r="G1009">
        <f t="shared" si="60"/>
        <v>-5.461857390921753E-4</v>
      </c>
      <c r="H1009" s="8">
        <f t="shared" si="63"/>
        <v>632500.5971720235</v>
      </c>
      <c r="I1009" s="8">
        <f t="shared" si="61"/>
        <v>1067100.1647020529</v>
      </c>
      <c r="J1009" s="13">
        <f t="shared" si="62"/>
        <v>-0.40727157759494381</v>
      </c>
    </row>
    <row r="1010" spans="1:10" x14ac:dyDescent="0.25">
      <c r="A1010" s="5">
        <v>45925</v>
      </c>
      <c r="B1010">
        <f>(Prices!B250/Prices!B249)-1</f>
        <v>5.5068325514990857E-3</v>
      </c>
      <c r="C1010">
        <f>(Prices!C250/Prices!C249)-1</f>
        <v>6.164369941736858E-3</v>
      </c>
      <c r="D1010">
        <f>(Prices!D250/Prices!D249)-1</f>
        <v>-8.9023413157660602E-3</v>
      </c>
      <c r="E1010">
        <f>(Prices!E250/Prices!E249)-1</f>
        <v>-9.7538771661631607E-5</v>
      </c>
      <c r="F1010">
        <f>(Prices!F250/Prices!F249)-1</f>
        <v>1.8092691622103363E-2</v>
      </c>
      <c r="G1010">
        <f t="shared" si="60"/>
        <v>4.1528028055823236E-3</v>
      </c>
      <c r="H1010" s="8">
        <f t="shared" si="63"/>
        <v>635127.24742649205</v>
      </c>
      <c r="I1010" s="8">
        <f t="shared" si="61"/>
        <v>1067100.1647020529</v>
      </c>
      <c r="J1010" s="13">
        <f t="shared" si="62"/>
        <v>-0.40481009333943163</v>
      </c>
    </row>
    <row r="1011" spans="1:10" x14ac:dyDescent="0.25">
      <c r="A1011" s="6">
        <v>45926</v>
      </c>
      <c r="B1011">
        <f>(Prices!B249/Prices!B248)-1</f>
        <v>-3.0500203334689058E-3</v>
      </c>
      <c r="C1011">
        <f>(Prices!C249/Prices!C248)-1</f>
        <v>-8.6735397898638489E-3</v>
      </c>
      <c r="D1011">
        <f>(Prices!D249/Prices!D248)-1</f>
        <v>-1.3957162921348298E-2</v>
      </c>
      <c r="E1011">
        <f>(Prices!E249/Prices!E248)-1</f>
        <v>-8.2546029084576977E-3</v>
      </c>
      <c r="F1011">
        <f>(Prices!F249/Prices!F248)-1</f>
        <v>4.2964554242750363E-3</v>
      </c>
      <c r="G1011">
        <f t="shared" si="60"/>
        <v>-5.9277741057727432E-3</v>
      </c>
      <c r="H1011" s="8">
        <f t="shared" si="63"/>
        <v>631362.35657532653</v>
      </c>
      <c r="I1011" s="8">
        <f t="shared" si="61"/>
        <v>1067100.1647020529</v>
      </c>
      <c r="J1011" s="13">
        <f t="shared" si="62"/>
        <v>-0.40833824465615148</v>
      </c>
    </row>
    <row r="1012" spans="1:10" x14ac:dyDescent="0.25">
      <c r="A1012" s="5">
        <v>45929</v>
      </c>
      <c r="B1012">
        <f>(Prices!B248/Prices!B247)-1</f>
        <v>1.0188152164982478E-2</v>
      </c>
      <c r="C1012">
        <f>(Prices!C248/Prices!C247)-1</f>
        <v>-6.0932601880876458E-3</v>
      </c>
      <c r="D1012">
        <f>(Prices!D248/Prices!D247)-1</f>
        <v>2.630630630630626E-2</v>
      </c>
      <c r="E1012">
        <f>(Prices!E248/Prices!E247)-1</f>
        <v>1.1944731404958109E-3</v>
      </c>
      <c r="F1012">
        <f>(Prices!F248/Prices!F247)-1</f>
        <v>-3.1823454183148581E-3</v>
      </c>
      <c r="G1012">
        <f t="shared" si="60"/>
        <v>5.6826652010764089E-3</v>
      </c>
      <c r="H1012" s="8">
        <f t="shared" si="63"/>
        <v>634950.17746830673</v>
      </c>
      <c r="I1012" s="8">
        <f t="shared" si="61"/>
        <v>1067100.1647020529</v>
      </c>
      <c r="J1012" s="13">
        <f t="shared" si="62"/>
        <v>-0.40497602898825119</v>
      </c>
    </row>
    <row r="1013" spans="1:10" x14ac:dyDescent="0.25">
      <c r="A1013" s="6">
        <v>45930</v>
      </c>
      <c r="B1013">
        <f>(Prices!B247/Prices!B246)-1</f>
        <v>3.9180104755227596E-3</v>
      </c>
      <c r="C1013">
        <f>(Prices!C247/Prices!C246)-1</f>
        <v>-6.4626644864907989E-3</v>
      </c>
      <c r="D1013">
        <f>(Prices!D247/Prices!D246)-1</f>
        <v>1.30510176143106E-2</v>
      </c>
      <c r="E1013">
        <f>(Prices!E247/Prices!E246)-1</f>
        <v>8.0772834480313804E-4</v>
      </c>
      <c r="F1013">
        <f>(Prices!F247/Prices!F246)-1</f>
        <v>-3.2705000891941616E-4</v>
      </c>
      <c r="G1013">
        <f t="shared" si="60"/>
        <v>2.1974083878452569E-3</v>
      </c>
      <c r="H1013" s="8">
        <f t="shared" si="63"/>
        <v>636345.42231413943</v>
      </c>
      <c r="I1013" s="8">
        <f t="shared" si="61"/>
        <v>1067100.1647020529</v>
      </c>
      <c r="J1013" s="13">
        <f t="shared" si="62"/>
        <v>-0.40366851832338096</v>
      </c>
    </row>
    <row r="1014" spans="1:10" x14ac:dyDescent="0.25">
      <c r="A1014" s="5">
        <v>45931</v>
      </c>
      <c r="B1014">
        <f>(Prices!B246/Prices!B245)-1</f>
        <v>-7.3282567755670325E-3</v>
      </c>
      <c r="C1014">
        <f>(Prices!C246/Prices!C245)-1</f>
        <v>-3.394959939472697E-3</v>
      </c>
      <c r="D1014">
        <f>(Prices!D246/Prices!D245)-1</f>
        <v>6.707092980521745E-3</v>
      </c>
      <c r="E1014">
        <f>(Prices!E246/Prices!E245)-1</f>
        <v>1.5186302807661978E-2</v>
      </c>
      <c r="F1014">
        <f>(Prices!F246/Prices!F245)-1</f>
        <v>-8.6361894656173943E-3</v>
      </c>
      <c r="G1014">
        <f t="shared" si="60"/>
        <v>5.0679792150531955E-4</v>
      </c>
      <c r="H1014" s="8">
        <f t="shared" si="63"/>
        <v>636667.9208515276</v>
      </c>
      <c r="I1014" s="8">
        <f t="shared" si="61"/>
        <v>1067100.1647020529</v>
      </c>
      <c r="J1014" s="13">
        <f t="shared" si="62"/>
        <v>-0.40336629876793911</v>
      </c>
    </row>
    <row r="1015" spans="1:10" x14ac:dyDescent="0.25">
      <c r="A1015" s="6">
        <v>45932</v>
      </c>
      <c r="B1015">
        <f>(Prices!B245/Prices!B244)-1</f>
        <v>-3.2238318710468006E-3</v>
      </c>
      <c r="C1015">
        <f>(Prices!C245/Prices!C244)-1</f>
        <v>7.7023830469378218E-3</v>
      </c>
      <c r="D1015">
        <f>(Prices!D245/Prices!D244)-1</f>
        <v>6.286982248520756E-3</v>
      </c>
      <c r="E1015">
        <f>(Prices!E245/Prices!E244)-1</f>
        <v>1.0272383855788991E-2</v>
      </c>
      <c r="F1015">
        <f>(Prices!F245/Prices!F244)-1</f>
        <v>-1.5324336090552948E-2</v>
      </c>
      <c r="G1015">
        <f t="shared" si="60"/>
        <v>1.1427162379295647E-3</v>
      </c>
      <c r="H1015" s="8">
        <f t="shared" si="63"/>
        <v>637395.45162285352</v>
      </c>
      <c r="I1015" s="8">
        <f t="shared" si="61"/>
        <v>1067100.1647020529</v>
      </c>
      <c r="J1015" s="13">
        <f t="shared" si="62"/>
        <v>-0.40268451574944519</v>
      </c>
    </row>
    <row r="1016" spans="1:10" x14ac:dyDescent="0.25">
      <c r="A1016" s="5">
        <v>45933</v>
      </c>
      <c r="B1016">
        <f>(Prices!B244/Prices!B243)-1</f>
        <v>1.3893996976013234E-3</v>
      </c>
      <c r="C1016">
        <f>(Prices!C244/Prices!C243)-1</f>
        <v>-3.1181182156568843E-3</v>
      </c>
      <c r="D1016">
        <f>(Prices!D244/Prices!D243)-1</f>
        <v>-1.7352593803942939E-2</v>
      </c>
      <c r="E1016">
        <f>(Prices!E244/Prices!E243)-1</f>
        <v>-7.9879030932579198E-3</v>
      </c>
      <c r="F1016">
        <f>(Prices!F244/Prices!F243)-1</f>
        <v>-1.7984381234680491E-2</v>
      </c>
      <c r="G1016">
        <f t="shared" si="60"/>
        <v>-9.0107193299873833E-3</v>
      </c>
      <c r="H1016" s="8">
        <f t="shared" si="63"/>
        <v>631652.06010606943</v>
      </c>
      <c r="I1016" s="8">
        <f t="shared" si="61"/>
        <v>1067100.1647020529</v>
      </c>
      <c r="J1016" s="13">
        <f t="shared" si="62"/>
        <v>-0.40806675792948249</v>
      </c>
    </row>
    <row r="1017" spans="1:10" x14ac:dyDescent="0.25">
      <c r="A1017" s="6">
        <v>45936</v>
      </c>
      <c r="B1017">
        <f>(Prices!B243/Prices!B242)-1</f>
        <v>-2.0297862118664356E-2</v>
      </c>
      <c r="C1017">
        <f>(Prices!C243/Prices!C242)-1</f>
        <v>-2.122992408347002E-2</v>
      </c>
      <c r="D1017">
        <f>(Prices!D243/Prices!D242)-1</f>
        <v>-8.1996756172284524E-3</v>
      </c>
      <c r="E1017">
        <f>(Prices!E243/Prices!E242)-1</f>
        <v>-2.0993931441694036E-3</v>
      </c>
      <c r="F1017">
        <f>(Prices!F243/Prices!F242)-1</f>
        <v>4.0061809649174496E-3</v>
      </c>
      <c r="G1017">
        <f t="shared" si="60"/>
        <v>-9.5641347997229582E-3</v>
      </c>
      <c r="H1017" s="8">
        <f t="shared" si="63"/>
        <v>625610.85465669225</v>
      </c>
      <c r="I1017" s="8">
        <f t="shared" si="61"/>
        <v>1067100.1647020529</v>
      </c>
      <c r="J1017" s="13">
        <f t="shared" si="62"/>
        <v>-0.41372808724908194</v>
      </c>
    </row>
    <row r="1018" spans="1:10" x14ac:dyDescent="0.25">
      <c r="A1018" s="5">
        <v>45937</v>
      </c>
      <c r="B1018">
        <f>(Prices!B242/Prices!B241)-1</f>
        <v>1.9011096605744182E-2</v>
      </c>
      <c r="C1018">
        <f>(Prices!C242/Prices!C241)-1</f>
        <v>8.7742928612659643E-3</v>
      </c>
      <c r="D1018">
        <f>(Prices!D242/Prices!D241)-1</f>
        <v>-5.4034582132567177E-4</v>
      </c>
      <c r="E1018">
        <f>(Prices!E242/Prices!E241)-1</f>
        <v>4.845408398707951E-3</v>
      </c>
      <c r="F1018">
        <f>(Prices!F242/Prices!F241)-1</f>
        <v>-1.3465827287355792E-2</v>
      </c>
      <c r="G1018">
        <f t="shared" si="60"/>
        <v>3.7249249514073276E-3</v>
      </c>
      <c r="H1018" s="8">
        <f t="shared" si="63"/>
        <v>627941.20813907415</v>
      </c>
      <c r="I1018" s="8">
        <f t="shared" si="61"/>
        <v>1067100.1647020529</v>
      </c>
      <c r="J1018" s="13">
        <f t="shared" si="62"/>
        <v>-0.41154426837296681</v>
      </c>
    </row>
    <row r="1019" spans="1:10" x14ac:dyDescent="0.25">
      <c r="A1019" s="6">
        <v>45938</v>
      </c>
      <c r="B1019">
        <f>(Prices!B241/Prices!B240)-1</f>
        <v>4.6313373498914068E-3</v>
      </c>
      <c r="C1019">
        <f>(Prices!C241/Prices!C240)-1</f>
        <v>-1.6712449814626495E-3</v>
      </c>
      <c r="D1019">
        <f>(Prices!D241/Prices!D240)-1</f>
        <v>2.075624943597143E-3</v>
      </c>
      <c r="E1019">
        <f>(Prices!E241/Prices!E240)-1</f>
        <v>1.2042565967241625E-2</v>
      </c>
      <c r="F1019">
        <f>(Prices!F241/Prices!F240)-1</f>
        <v>-1.6928926262037458E-2</v>
      </c>
      <c r="G1019">
        <f t="shared" si="60"/>
        <v>2.9871403446013467E-5</v>
      </c>
      <c r="H1019" s="8">
        <f t="shared" si="63"/>
        <v>627959.96562424279</v>
      </c>
      <c r="I1019" s="8">
        <f t="shared" si="61"/>
        <v>1067100.1647020529</v>
      </c>
      <c r="J1019" s="13">
        <f t="shared" si="62"/>
        <v>-0.41152669037439737</v>
      </c>
    </row>
    <row r="1020" spans="1:10" x14ac:dyDescent="0.25">
      <c r="A1020" s="5">
        <v>45939</v>
      </c>
      <c r="B1020">
        <f>(Prices!B240/Prices!B239)-1</f>
        <v>1.2826899128268954E-2</v>
      </c>
      <c r="C1020">
        <f>(Prices!C240/Prices!C239)-1</f>
        <v>4.6898521635081458E-3</v>
      </c>
      <c r="D1020">
        <f>(Prices!D240/Prices!D239)-1</f>
        <v>9.8423402898022427E-3</v>
      </c>
      <c r="E1020">
        <f>(Prices!E240/Prices!E239)-1</f>
        <v>-4.9128630705395082E-3</v>
      </c>
      <c r="F1020">
        <f>(Prices!F240/Prices!F239)-1</f>
        <v>6.086835124947676E-3</v>
      </c>
      <c r="G1020">
        <f t="shared" si="60"/>
        <v>5.7066127271975025E-3</v>
      </c>
      <c r="H1020" s="8">
        <f t="shared" si="63"/>
        <v>631543.48995624459</v>
      </c>
      <c r="I1020" s="8">
        <f t="shared" si="61"/>
        <v>1067100.1647020529</v>
      </c>
      <c r="J1020" s="13">
        <f t="shared" si="62"/>
        <v>-0.40816850109607183</v>
      </c>
    </row>
    <row r="1021" spans="1:10" x14ac:dyDescent="0.25">
      <c r="A1021" s="6">
        <v>45940</v>
      </c>
      <c r="B1021">
        <f>(Prices!B239/Prices!B238)-1</f>
        <v>2.0935751822342752E-2</v>
      </c>
      <c r="C1021">
        <f>(Prices!C239/Prices!C238)-1</f>
        <v>2.2395864164644008E-2</v>
      </c>
      <c r="D1021">
        <f>(Prices!D239/Prices!D238)-1</f>
        <v>1.9700771303782227E-2</v>
      </c>
      <c r="E1021">
        <f>(Prices!E239/Prices!E238)-1</f>
        <v>1.5403802076311202E-2</v>
      </c>
      <c r="F1021">
        <f>(Prices!F239/Prices!F238)-1</f>
        <v>3.7183979612521956E-2</v>
      </c>
      <c r="G1021">
        <f t="shared" si="60"/>
        <v>2.3124033795920429E-2</v>
      </c>
      <c r="H1021" s="8">
        <f t="shared" si="63"/>
        <v>646147.32296158629</v>
      </c>
      <c r="I1021" s="8">
        <f t="shared" si="61"/>
        <v>1067100.1647020529</v>
      </c>
      <c r="J1021" s="13">
        <f t="shared" si="62"/>
        <v>-0.3944829695139272</v>
      </c>
    </row>
    <row r="1022" spans="1:10" x14ac:dyDescent="0.25">
      <c r="A1022" s="5">
        <v>45943</v>
      </c>
      <c r="B1022">
        <f>(Prices!B238/Prices!B237)-1</f>
        <v>-3.1044678055190511E-2</v>
      </c>
      <c r="C1022">
        <f>(Prices!C238/Prices!C237)-1</f>
        <v>-6.0212607382418293E-3</v>
      </c>
      <c r="D1022">
        <f>(Prices!D238/Prices!D237)-1</f>
        <v>-1.3476347634763464E-2</v>
      </c>
      <c r="E1022">
        <f>(Prices!E238/Prices!E237)-1</f>
        <v>-2.2986234604491895E-2</v>
      </c>
      <c r="F1022">
        <f>(Prices!F238/Prices!F237)-1</f>
        <v>-1.1592626517059834E-2</v>
      </c>
      <c r="G1022">
        <f t="shared" si="60"/>
        <v>-1.7024229509949508E-2</v>
      </c>
      <c r="H1022" s="8">
        <f t="shared" si="63"/>
        <v>635147.16263824876</v>
      </c>
      <c r="I1022" s="8">
        <f t="shared" si="61"/>
        <v>1067100.1647020529</v>
      </c>
      <c r="J1022" s="13">
        <f t="shared" si="62"/>
        <v>-0.40479143041310522</v>
      </c>
    </row>
    <row r="1023" spans="1:10" x14ac:dyDescent="0.25">
      <c r="A1023" s="6">
        <v>45944</v>
      </c>
      <c r="B1023">
        <f>(Prices!B237/Prices!B236)-1</f>
        <v>-5.2693925901718952E-3</v>
      </c>
      <c r="C1023">
        <f>(Prices!C237/Prices!C236)-1</f>
        <v>9.4232203855670882E-4</v>
      </c>
      <c r="D1023">
        <f>(Prices!D237/Prices!D236)-1</f>
        <v>-4.5816915605234598E-4</v>
      </c>
      <c r="E1023">
        <f>(Prices!E237/Prices!E236)-1</f>
        <v>1.9506462984723916E-2</v>
      </c>
      <c r="F1023">
        <f>(Prices!F237/Prices!F236)-1</f>
        <v>-3.5083716021562239E-3</v>
      </c>
      <c r="G1023">
        <f t="shared" si="60"/>
        <v>2.2425703349800321E-3</v>
      </c>
      <c r="H1023" s="8">
        <f t="shared" si="63"/>
        <v>636571.52482352802</v>
      </c>
      <c r="I1023" s="8">
        <f t="shared" si="61"/>
        <v>1067100.1647020529</v>
      </c>
      <c r="J1023" s="13">
        <f t="shared" si="62"/>
        <v>-0.4034566333318238</v>
      </c>
    </row>
    <row r="1024" spans="1:10" x14ac:dyDescent="0.25">
      <c r="A1024" s="5">
        <v>45945</v>
      </c>
      <c r="B1024">
        <f>(Prices!B236/Prices!B235)-1</f>
        <v>-2.2246185797587636E-2</v>
      </c>
      <c r="C1024">
        <f>(Prices!C236/Prices!C235)-1</f>
        <v>2.7491948786417808E-4</v>
      </c>
      <c r="D1024">
        <f>(Prices!D236/Prices!D235)-1</f>
        <v>6.0846316953995228E-3</v>
      </c>
      <c r="E1024">
        <f>(Prices!E236/Prices!E235)-1</f>
        <v>-1.1811154241730515E-2</v>
      </c>
      <c r="F1024">
        <f>(Prices!F236/Prices!F235)-1</f>
        <v>-3.3827960657228928E-3</v>
      </c>
      <c r="G1024">
        <f t="shared" si="60"/>
        <v>-6.2161169843554694E-3</v>
      </c>
      <c r="H1024" s="8">
        <f t="shared" si="63"/>
        <v>632614.52175631549</v>
      </c>
      <c r="I1024" s="8">
        <f t="shared" si="61"/>
        <v>1067100.1647020529</v>
      </c>
      <c r="J1024" s="13">
        <f t="shared" si="62"/>
        <v>-0.40716481668527438</v>
      </c>
    </row>
    <row r="1025" spans="1:10" x14ac:dyDescent="0.25">
      <c r="A1025" s="6">
        <v>45946</v>
      </c>
      <c r="B1025">
        <f>(Prices!B235/Prices!B234)-1</f>
        <v>-1.7144451975599218E-3</v>
      </c>
      <c r="C1025">
        <f>(Prices!C235/Prices!C234)-1</f>
        <v>3.5669944622904737E-3</v>
      </c>
      <c r="D1025">
        <f>(Prices!D235/Prices!D234)-1</f>
        <v>8.8355654761904656E-3</v>
      </c>
      <c r="E1025">
        <f>(Prices!E235/Prices!E234)-1</f>
        <v>2.39502649816552E-2</v>
      </c>
      <c r="F1025">
        <f>(Prices!F235/Prices!F234)-1</f>
        <v>1.2549651718381183E-2</v>
      </c>
      <c r="G1025">
        <f t="shared" si="60"/>
        <v>9.4376062881914805E-3</v>
      </c>
      <c r="H1025" s="8">
        <f t="shared" si="63"/>
        <v>638584.88854484423</v>
      </c>
      <c r="I1025" s="8">
        <f t="shared" si="61"/>
        <v>1067100.1647020529</v>
      </c>
      <c r="J1025" s="13">
        <f t="shared" si="62"/>
        <v>-0.40156987163136204</v>
      </c>
    </row>
    <row r="1026" spans="1:10" x14ac:dyDescent="0.25">
      <c r="A1026" s="5">
        <v>45947</v>
      </c>
      <c r="B1026">
        <f>(Prices!B234/Prices!B233)-1</f>
        <v>-7.2435085497148943E-3</v>
      </c>
      <c r="C1026">
        <f>(Prices!C234/Prices!C233)-1</f>
        <v>-3.8477394530712639E-3</v>
      </c>
      <c r="D1026">
        <f>(Prices!D234/Prices!D233)-1</f>
        <v>-1.4301430143014326E-2</v>
      </c>
      <c r="E1026">
        <f>(Prices!E234/Prices!E233)-1</f>
        <v>3.3061794880535622E-3</v>
      </c>
      <c r="F1026">
        <f>(Prices!F234/Prices!F233)-1</f>
        <v>2.0152583849131211E-4</v>
      </c>
      <c r="G1026">
        <f t="shared" ref="G1026:G1089" si="64">B1026*20%+C1026*20%+D1026*20%+E1026*20%+F1026*20%</f>
        <v>-4.3769945638511224E-3</v>
      </c>
      <c r="H1026" s="8">
        <f t="shared" si="63"/>
        <v>635789.80595912598</v>
      </c>
      <c r="I1026" s="8">
        <f t="shared" ref="I1026:I1089" si="65">MAX(I1025,H1026)</f>
        <v>1067100.1647020529</v>
      </c>
      <c r="J1026" s="13">
        <f t="shared" ref="J1026:J1089" si="66">(H1026-I1026)/I1026</f>
        <v>-0.40418919705007633</v>
      </c>
    </row>
    <row r="1027" spans="1:10" x14ac:dyDescent="0.25">
      <c r="A1027" s="6">
        <v>45950</v>
      </c>
      <c r="B1027">
        <f>(Prices!B233/Prices!B232)-1</f>
        <v>-1.2662185399406001E-2</v>
      </c>
      <c r="C1027">
        <f>(Prices!C233/Prices!C232)-1</f>
        <v>-6.2040306689818969E-3</v>
      </c>
      <c r="D1027">
        <f>(Prices!D233/Prices!D232)-1</f>
        <v>-4.1084634346754134E-3</v>
      </c>
      <c r="E1027">
        <f>(Prices!E233/Prices!E232)-1</f>
        <v>-1.5899104417536059E-2</v>
      </c>
      <c r="F1027">
        <f>(Prices!F233/Prices!F232)-1</f>
        <v>-2.163197476269596E-2</v>
      </c>
      <c r="G1027">
        <f t="shared" si="64"/>
        <v>-1.2101151736659066E-2</v>
      </c>
      <c r="H1027" s="8">
        <f t="shared" si="63"/>
        <v>628096.01704459358</v>
      </c>
      <c r="I1027" s="8">
        <f t="shared" si="65"/>
        <v>1067100.1647020529</v>
      </c>
      <c r="J1027" s="13">
        <f t="shared" si="66"/>
        <v>-0.41139919398291402</v>
      </c>
    </row>
    <row r="1028" spans="1:10" x14ac:dyDescent="0.25">
      <c r="A1028" s="5">
        <v>45951</v>
      </c>
      <c r="B1028">
        <f>(Prices!B232/Prices!B231)-1</f>
        <v>2.4298466834794308E-2</v>
      </c>
      <c r="C1028">
        <f>(Prices!C232/Prices!C231)-1</f>
        <v>-1.6944531006544139E-3</v>
      </c>
      <c r="D1028">
        <f>(Prices!D232/Prices!D231)-1</f>
        <v>-9.1290852656578103E-5</v>
      </c>
      <c r="E1028">
        <f>(Prices!E232/Prices!E231)-1</f>
        <v>1.7751681289045029E-2</v>
      </c>
      <c r="F1028">
        <f>(Prices!F232/Prices!F231)-1</f>
        <v>-2.4164770013206383E-3</v>
      </c>
      <c r="G1028">
        <f t="shared" si="64"/>
        <v>7.569585433841541E-3</v>
      </c>
      <c r="H1028" s="8">
        <f t="shared" ref="H1028:H1091" si="67">H1027*(1+G1028)</f>
        <v>632850.4435062682</v>
      </c>
      <c r="I1028" s="8">
        <f t="shared" si="65"/>
        <v>1067100.1647020529</v>
      </c>
      <c r="J1028" s="13">
        <f t="shared" si="66"/>
        <v>-0.40694372989533972</v>
      </c>
    </row>
    <row r="1029" spans="1:10" x14ac:dyDescent="0.25">
      <c r="A1029" s="6">
        <v>45952</v>
      </c>
      <c r="B1029">
        <f>(Prices!B231/Prices!B230)-1</f>
        <v>-4.8996175908221362E-3</v>
      </c>
      <c r="C1029">
        <f>(Prices!C231/Prices!C230)-1</f>
        <v>-5.5201534021575016E-3</v>
      </c>
      <c r="D1029">
        <f>(Prices!D231/Prices!D230)-1</f>
        <v>-1.7402224614280537E-2</v>
      </c>
      <c r="E1029">
        <f>(Prices!E231/Prices!E230)-1</f>
        <v>1.0138280630366481E-2</v>
      </c>
      <c r="F1029">
        <f>(Prices!F231/Prices!F230)-1</f>
        <v>1.0735281588140078E-2</v>
      </c>
      <c r="G1029">
        <f t="shared" si="64"/>
        <v>-1.3896866777507234E-3</v>
      </c>
      <c r="H1029" s="8">
        <f t="shared" si="67"/>
        <v>631970.97967591893</v>
      </c>
      <c r="I1029" s="8">
        <f t="shared" si="65"/>
        <v>1067100.1647020529</v>
      </c>
      <c r="J1029" s="13">
        <f t="shared" si="66"/>
        <v>-0.40776789229306065</v>
      </c>
    </row>
    <row r="1030" spans="1:10" x14ac:dyDescent="0.25">
      <c r="A1030" s="5">
        <v>45953</v>
      </c>
      <c r="B1030">
        <f>(Prices!B230/Prices!B229)-1</f>
        <v>-5.4670786783931336E-3</v>
      </c>
      <c r="C1030">
        <f>(Prices!C230/Prices!C229)-1</f>
        <v>-3.8736418043416876E-5</v>
      </c>
      <c r="D1030">
        <f>(Prices!D230/Prices!D229)-1</f>
        <v>-1.0912962470055798E-2</v>
      </c>
      <c r="E1030">
        <f>(Prices!E230/Prices!E229)-1</f>
        <v>-1.4806142827629154E-3</v>
      </c>
      <c r="F1030">
        <f>(Prices!F230/Prices!F229)-1</f>
        <v>2.8766733124465649E-3</v>
      </c>
      <c r="G1030">
        <f t="shared" si="64"/>
        <v>-3.0045437073617396E-3</v>
      </c>
      <c r="H1030" s="8">
        <f t="shared" si="67"/>
        <v>630072.19524569844</v>
      </c>
      <c r="I1030" s="8">
        <f t="shared" si="65"/>
        <v>1067100.1647020529</v>
      </c>
      <c r="J1030" s="13">
        <f t="shared" si="66"/>
        <v>-0.40954727954556908</v>
      </c>
    </row>
    <row r="1031" spans="1:10" x14ac:dyDescent="0.25">
      <c r="A1031" s="6">
        <v>45954</v>
      </c>
      <c r="B1031">
        <f>(Prices!B229/Prices!B228)-1</f>
        <v>-2.6345226615236306E-2</v>
      </c>
      <c r="C1031">
        <f>(Prices!C229/Prices!C228)-1</f>
        <v>-5.8343281857744511E-3</v>
      </c>
      <c r="D1031">
        <f>(Prices!D229/Prices!D228)-1</f>
        <v>5.0829320492240537E-3</v>
      </c>
      <c r="E1031">
        <f>(Prices!E229/Prices!E228)-1</f>
        <v>-1.9613138439725897E-2</v>
      </c>
      <c r="F1031">
        <f>(Prices!F229/Prices!F228)-1</f>
        <v>-5.6641178136505044E-3</v>
      </c>
      <c r="G1031">
        <f t="shared" si="64"/>
        <v>-1.0474775801032621E-2</v>
      </c>
      <c r="H1031" s="8">
        <f t="shared" si="67"/>
        <v>623472.33026203525</v>
      </c>
      <c r="I1031" s="8">
        <f t="shared" si="65"/>
        <v>1067100.1647020529</v>
      </c>
      <c r="J1031" s="13">
        <f t="shared" si="66"/>
        <v>-0.41573213941343912</v>
      </c>
    </row>
    <row r="1032" spans="1:10" x14ac:dyDescent="0.25">
      <c r="A1032" s="5">
        <v>45957</v>
      </c>
      <c r="B1032">
        <f>(Prices!B228/Prices!B227)-1</f>
        <v>-3.4702312246341682E-2</v>
      </c>
      <c r="C1032">
        <f>(Prices!C228/Prices!C227)-1</f>
        <v>-1.4871580864220801E-2</v>
      </c>
      <c r="D1032">
        <f>(Prices!D228/Prices!D227)-1</f>
        <v>-4.7040028401527101E-3</v>
      </c>
      <c r="E1032">
        <f>(Prices!E228/Prices!E227)-1</f>
        <v>-1.2204474974157109E-2</v>
      </c>
      <c r="F1032">
        <f>(Prices!F228/Prices!F227)-1</f>
        <v>-9.5093831524025729E-3</v>
      </c>
      <c r="G1032">
        <f t="shared" si="64"/>
        <v>-1.5198350815454974E-2</v>
      </c>
      <c r="H1032" s="8">
        <f t="shared" si="67"/>
        <v>613996.57906298363</v>
      </c>
      <c r="I1032" s="8">
        <f t="shared" si="65"/>
        <v>1067100.1647020529</v>
      </c>
      <c r="J1032" s="13">
        <f t="shared" si="66"/>
        <v>-0.42461204732882901</v>
      </c>
    </row>
    <row r="1033" spans="1:10" x14ac:dyDescent="0.25">
      <c r="A1033" s="6">
        <v>45958</v>
      </c>
      <c r="B1033">
        <f>(Prices!B227/Prices!B226)-1</f>
        <v>6.7096483994302236E-3</v>
      </c>
      <c r="C1033">
        <f>(Prices!C227/Prices!C226)-1</f>
        <v>-1.9473635264577349E-2</v>
      </c>
      <c r="D1033">
        <f>(Prices!D227/Prices!D226)-1</f>
        <v>7.8719026746578713E-3</v>
      </c>
      <c r="E1033">
        <f>(Prices!E227/Prices!E226)-1</f>
        <v>-3.952437890261673E-3</v>
      </c>
      <c r="F1033">
        <f>(Prices!F227/Prices!F226)-1</f>
        <v>-5.0516327100195157E-3</v>
      </c>
      <c r="G1033">
        <f t="shared" si="64"/>
        <v>-2.7792309581540883E-3</v>
      </c>
      <c r="H1033" s="8">
        <f t="shared" si="67"/>
        <v>612290.1407622511</v>
      </c>
      <c r="I1033" s="8">
        <f t="shared" si="65"/>
        <v>1067100.1647020529</v>
      </c>
      <c r="J1033" s="13">
        <f t="shared" si="66"/>
        <v>-0.42621118333984159</v>
      </c>
    </row>
    <row r="1034" spans="1:10" x14ac:dyDescent="0.25">
      <c r="A1034" s="5">
        <v>45959</v>
      </c>
      <c r="B1034">
        <f>(Prices!B226/Prices!B225)-1</f>
        <v>-2.5852625429051534E-2</v>
      </c>
      <c r="C1034">
        <f>(Prices!C226/Prices!C225)-1</f>
        <v>9.68108279187474E-4</v>
      </c>
      <c r="D1034">
        <f>(Prices!D226/Prices!D225)-1</f>
        <v>-1.2194044358045386E-2</v>
      </c>
      <c r="E1034">
        <f>(Prices!E226/Prices!E225)-1</f>
        <v>-4.9795837068034032E-4</v>
      </c>
      <c r="F1034">
        <f>(Prices!F226/Prices!F225)-1</f>
        <v>3.5399508741511321E-2</v>
      </c>
      <c r="G1034">
        <f t="shared" si="64"/>
        <v>-4.3540222741569271E-4</v>
      </c>
      <c r="H1034" s="8">
        <f t="shared" si="67"/>
        <v>612023.54827113857</v>
      </c>
      <c r="I1034" s="8">
        <f t="shared" si="65"/>
        <v>1067100.1647020529</v>
      </c>
      <c r="J1034" s="13">
        <f t="shared" si="66"/>
        <v>-0.42646101226868161</v>
      </c>
    </row>
    <row r="1035" spans="1:10" x14ac:dyDescent="0.25">
      <c r="A1035" s="6">
        <v>45960</v>
      </c>
      <c r="B1035">
        <f>(Prices!B225/Prices!B224)-1</f>
        <v>-2.4541406945681188E-2</v>
      </c>
      <c r="C1035">
        <f>(Prices!C225/Prices!C224)-1</f>
        <v>3.0030490728133907E-2</v>
      </c>
      <c r="D1035">
        <f>(Prices!D225/Prices!D224)-1</f>
        <v>1.5341826664274194E-2</v>
      </c>
      <c r="E1035">
        <f>(Prices!E225/Prices!E224)-1</f>
        <v>-1.2716725115532124E-2</v>
      </c>
      <c r="F1035">
        <f>(Prices!F225/Prices!F224)-1</f>
        <v>3.0493433786962898E-2</v>
      </c>
      <c r="G1035">
        <f t="shared" si="64"/>
        <v>7.7215238236315389E-3</v>
      </c>
      <c r="H1035" s="8">
        <f t="shared" si="67"/>
        <v>616749.30267973756</v>
      </c>
      <c r="I1035" s="8">
        <f t="shared" si="65"/>
        <v>1067100.1647020529</v>
      </c>
      <c r="J1035" s="13">
        <f t="shared" si="66"/>
        <v>-0.42203241731113283</v>
      </c>
    </row>
    <row r="1036" spans="1:10" x14ac:dyDescent="0.25">
      <c r="A1036" s="5">
        <v>45961</v>
      </c>
      <c r="B1036">
        <f>(Prices!B224/Prices!B223)-1</f>
        <v>1.0340155458889999E-3</v>
      </c>
      <c r="C1036">
        <f>(Prices!C224/Prices!C223)-1</f>
        <v>1.5362747770551799E-2</v>
      </c>
      <c r="D1036">
        <f>(Prices!D224/Prices!D223)-1</f>
        <v>2.8792513946374054E-3</v>
      </c>
      <c r="E1036">
        <f>(Prices!E224/Prices!E223)-1</f>
        <v>-5.37879775720429E-3</v>
      </c>
      <c r="F1036">
        <f>(Prices!F224/Prices!F223)-1</f>
        <v>9.3477607454164335E-3</v>
      </c>
      <c r="G1036">
        <f t="shared" si="64"/>
        <v>4.6489955398580692E-3</v>
      </c>
      <c r="H1036" s="8">
        <f t="shared" si="67"/>
        <v>619616.56743710628</v>
      </c>
      <c r="I1036" s="8">
        <f t="shared" si="65"/>
        <v>1067100.1647020529</v>
      </c>
      <c r="J1036" s="13">
        <f t="shared" si="66"/>
        <v>-0.41934544859702971</v>
      </c>
    </row>
    <row r="1037" spans="1:10" x14ac:dyDescent="0.25">
      <c r="A1037" s="6">
        <v>45964</v>
      </c>
      <c r="B1037">
        <f>(Prices!B223/Prices!B222)-1</f>
        <v>-8.9052229839565733E-3</v>
      </c>
      <c r="C1037">
        <f>(Prices!C223/Prices!C222)-1</f>
        <v>1.5015307813812662E-3</v>
      </c>
      <c r="D1037">
        <f>(Prices!D223/Prices!D222)-1</f>
        <v>5.2460202604920347E-3</v>
      </c>
      <c r="E1037">
        <f>(Prices!E223/Prices!E222)-1</f>
        <v>5.7045439643301776E-3</v>
      </c>
      <c r="F1037">
        <f>(Prices!F223/Prices!F222)-1</f>
        <v>2.3282994494509879E-2</v>
      </c>
      <c r="G1037">
        <f t="shared" si="64"/>
        <v>5.3659733033513566E-3</v>
      </c>
      <c r="H1037" s="8">
        <f t="shared" si="67"/>
        <v>622941.41339628794</v>
      </c>
      <c r="I1037" s="8">
        <f t="shared" si="65"/>
        <v>1067100.1647020529</v>
      </c>
      <c r="J1037" s="13">
        <f t="shared" si="66"/>
        <v>-0.41622967177573195</v>
      </c>
    </row>
    <row r="1038" spans="1:10" x14ac:dyDescent="0.25">
      <c r="A1038" s="5">
        <v>45965</v>
      </c>
      <c r="B1038">
        <f>(Prices!B222/Prices!B221)-1</f>
        <v>2.2252727404089345E-2</v>
      </c>
      <c r="C1038">
        <f>(Prices!C222/Prices!C221)-1</f>
        <v>5.2535628173209226E-3</v>
      </c>
      <c r="D1038">
        <f>(Prices!D222/Prices!D221)-1</f>
        <v>-3.3354367619219394E-3</v>
      </c>
      <c r="E1038">
        <f>(Prices!E222/Prices!E221)-1</f>
        <v>3.2795487340919749E-4</v>
      </c>
      <c r="F1038">
        <f>(Prices!F222/Prices!F221)-1</f>
        <v>8.9371605896042539E-3</v>
      </c>
      <c r="G1038">
        <f t="shared" si="64"/>
        <v>6.6871937845003563E-3</v>
      </c>
      <c r="H1038" s="8">
        <f t="shared" si="67"/>
        <v>627107.14334405947</v>
      </c>
      <c r="I1038" s="8">
        <f t="shared" si="65"/>
        <v>1067100.1647020529</v>
      </c>
      <c r="J1038" s="13">
        <f t="shared" si="66"/>
        <v>-0.41232588646525486</v>
      </c>
    </row>
    <row r="1039" spans="1:10" x14ac:dyDescent="0.25">
      <c r="A1039" s="6">
        <v>45966</v>
      </c>
      <c r="B1039">
        <f>(Prices!B221/Prices!B220)-1</f>
        <v>-2.380364636597665E-2</v>
      </c>
      <c r="C1039">
        <f>(Prices!C221/Prices!C220)-1</f>
        <v>1.4134626853802956E-2</v>
      </c>
      <c r="D1039">
        <f>(Prices!D221/Prices!D220)-1</f>
        <v>4.0731354091239069E-3</v>
      </c>
      <c r="E1039">
        <f>(Prices!E221/Prices!E220)-1</f>
        <v>-7.8094494338148968E-3</v>
      </c>
      <c r="F1039">
        <f>(Prices!F221/Prices!F220)-1</f>
        <v>9.4286430271894872E-3</v>
      </c>
      <c r="G1039">
        <f t="shared" si="64"/>
        <v>-7.95338101935039E-4</v>
      </c>
      <c r="H1039" s="8">
        <f t="shared" si="67"/>
        <v>626608.38113896234</v>
      </c>
      <c r="I1039" s="8">
        <f t="shared" si="65"/>
        <v>1067100.1647020529</v>
      </c>
      <c r="J1039" s="13">
        <f t="shared" si="66"/>
        <v>-0.41279328607926991</v>
      </c>
    </row>
    <row r="1040" spans="1:10" x14ac:dyDescent="0.25">
      <c r="A1040" s="5">
        <v>45967</v>
      </c>
      <c r="B1040">
        <f>(Prices!B220/Prices!B219)-1</f>
        <v>-1.5492412239005438E-3</v>
      </c>
      <c r="C1040">
        <f>(Prices!C220/Prices!C219)-1</f>
        <v>2.0241765374006127E-2</v>
      </c>
      <c r="D1040">
        <f>(Prices!D220/Prices!D219)-1</f>
        <v>-7.0998472184774508E-3</v>
      </c>
      <c r="E1040">
        <f>(Prices!E220/Prices!E219)-1</f>
        <v>-5.5334433550140449E-3</v>
      </c>
      <c r="F1040">
        <f>(Prices!F220/Prices!F219)-1</f>
        <v>1.9219717770257327E-2</v>
      </c>
      <c r="G1040">
        <f t="shared" si="64"/>
        <v>5.0557902693742825E-3</v>
      </c>
      <c r="H1040" s="8">
        <f t="shared" si="67"/>
        <v>629776.38169503305</v>
      </c>
      <c r="I1040" s="8">
        <f t="shared" si="65"/>
        <v>1067100.1647020529</v>
      </c>
      <c r="J1040" s="13">
        <f t="shared" si="66"/>
        <v>-0.4098244920889183</v>
      </c>
    </row>
    <row r="1041" spans="1:10" x14ac:dyDescent="0.25">
      <c r="A1041" s="6">
        <v>45968</v>
      </c>
      <c r="B1041">
        <f>(Prices!B219/Prices!B218)-1</f>
        <v>2.1214627305742306E-2</v>
      </c>
      <c r="C1041">
        <f>(Prices!C219/Prices!C218)-1</f>
        <v>5.479229660896312E-4</v>
      </c>
      <c r="D1041">
        <f>(Prices!D219/Prices!D218)-1</f>
        <v>-2.3261938202247201E-2</v>
      </c>
      <c r="E1041">
        <f>(Prices!E219/Prices!E218)-1</f>
        <v>-2.5176721216230158E-3</v>
      </c>
      <c r="F1041">
        <f>(Prices!F219/Prices!F218)-1</f>
        <v>-8.1697276757440873E-3</v>
      </c>
      <c r="G1041">
        <f t="shared" si="64"/>
        <v>-2.4373575455564731E-3</v>
      </c>
      <c r="H1041" s="8">
        <f t="shared" si="67"/>
        <v>628241.39147909533</v>
      </c>
      <c r="I1041" s="8">
        <f t="shared" si="65"/>
        <v>1067100.1647020529</v>
      </c>
      <c r="J1041" s="13">
        <f t="shared" si="66"/>
        <v>-0.41126296081632807</v>
      </c>
    </row>
    <row r="1042" spans="1:10" x14ac:dyDescent="0.25">
      <c r="A1042" s="5">
        <v>45971</v>
      </c>
      <c r="B1042">
        <f>(Prices!B218/Prices!B217)-1</f>
        <v>-3.8845688612407114E-2</v>
      </c>
      <c r="C1042">
        <f>(Prices!C218/Prices!C217)-1</f>
        <v>-1.8132185625759689E-2</v>
      </c>
      <c r="D1042">
        <f>(Prices!D218/Prices!D217)-1</f>
        <v>-8.442858386282559E-3</v>
      </c>
      <c r="E1042">
        <f>(Prices!E218/Prices!E217)-1</f>
        <v>-8.4493518963033587E-3</v>
      </c>
      <c r="F1042">
        <f>(Prices!F218/Prices!F217)-1</f>
        <v>8.1726471714977933E-3</v>
      </c>
      <c r="G1042">
        <f t="shared" si="64"/>
        <v>-1.3139487469850985E-2</v>
      </c>
      <c r="H1042" s="8">
        <f t="shared" si="67"/>
        <v>619986.62158771406</v>
      </c>
      <c r="I1042" s="8">
        <f t="shared" si="65"/>
        <v>1067100.1647020529</v>
      </c>
      <c r="J1042" s="13">
        <f t="shared" si="66"/>
        <v>-0.41899866376571904</v>
      </c>
    </row>
    <row r="1043" spans="1:10" x14ac:dyDescent="0.25">
      <c r="A1043" s="6">
        <v>45972</v>
      </c>
      <c r="B1043">
        <f>(Prices!B217/Prices!B216)-1</f>
        <v>-4.1300980898295592E-3</v>
      </c>
      <c r="C1043">
        <f>(Prices!C217/Prices!C216)-1</f>
        <v>-5.272233563910933E-3</v>
      </c>
      <c r="D1043">
        <f>(Prices!D217/Prices!D216)-1</f>
        <v>-1.305729748303408E-2</v>
      </c>
      <c r="E1043">
        <f>(Prices!E217/Prices!E216)-1</f>
        <v>4.0167095115681839E-3</v>
      </c>
      <c r="F1043">
        <f>(Prices!F217/Prices!F216)-1</f>
        <v>-1.7933283170303405E-2</v>
      </c>
      <c r="G1043">
        <f t="shared" si="64"/>
        <v>-7.2752405591019588E-3</v>
      </c>
      <c r="H1043" s="8">
        <f t="shared" si="67"/>
        <v>615476.06977223849</v>
      </c>
      <c r="I1043" s="8">
        <f t="shared" si="65"/>
        <v>1067100.1647020529</v>
      </c>
      <c r="J1043" s="13">
        <f t="shared" si="66"/>
        <v>-0.42322558825198314</v>
      </c>
    </row>
    <row r="1044" spans="1:10" x14ac:dyDescent="0.25">
      <c r="A1044" s="5">
        <v>45973</v>
      </c>
      <c r="B1044">
        <f>(Prices!B216/Prices!B215)-1</f>
        <v>1.6015665978948768E-2</v>
      </c>
      <c r="C1044">
        <f>(Prices!C216/Prices!C215)-1</f>
        <v>-4.8129080616211573E-3</v>
      </c>
      <c r="D1044">
        <f>(Prices!D216/Prices!D215)-1</f>
        <v>1.4112727589511209E-2</v>
      </c>
      <c r="E1044">
        <f>(Prices!E216/Prices!E215)-1</f>
        <v>-1.4940491263611078E-2</v>
      </c>
      <c r="F1044">
        <f>(Prices!F216/Prices!F215)-1</f>
        <v>-3.4244708874557217E-2</v>
      </c>
      <c r="G1044">
        <f t="shared" si="64"/>
        <v>-4.7739429262658954E-3</v>
      </c>
      <c r="H1044" s="8">
        <f t="shared" si="67"/>
        <v>612537.82214266341</v>
      </c>
      <c r="I1044" s="8">
        <f t="shared" si="65"/>
        <v>1067100.1647020529</v>
      </c>
      <c r="J1044" s="13">
        <f t="shared" si="66"/>
        <v>-0.42597907637499871</v>
      </c>
    </row>
    <row r="1045" spans="1:10" x14ac:dyDescent="0.25">
      <c r="A1045" s="6">
        <v>45974</v>
      </c>
      <c r="B1045">
        <f>(Prices!B215/Prices!B214)-1</f>
        <v>2.922440165556961E-2</v>
      </c>
      <c r="C1045">
        <f>(Prices!C215/Prices!C214)-1</f>
        <v>1.5605593172803411E-2</v>
      </c>
      <c r="D1045">
        <f>(Prices!D215/Prices!D214)-1</f>
        <v>-5.6306306306305176E-3</v>
      </c>
      <c r="E1045">
        <f>(Prices!E215/Prices!E214)-1</f>
        <v>3.529411764705892E-2</v>
      </c>
      <c r="F1045">
        <f>(Prices!F215/Prices!F214)-1</f>
        <v>1.9666563754245248E-2</v>
      </c>
      <c r="G1045">
        <f t="shared" si="64"/>
        <v>1.8832009119809336E-2</v>
      </c>
      <c r="H1045" s="8">
        <f t="shared" si="67"/>
        <v>624073.13999548217</v>
      </c>
      <c r="I1045" s="8">
        <f t="shared" si="65"/>
        <v>1067100.1647020529</v>
      </c>
      <c r="J1045" s="13">
        <f t="shared" si="66"/>
        <v>-0.41516910910633137</v>
      </c>
    </row>
    <row r="1046" spans="1:10" x14ac:dyDescent="0.25">
      <c r="A1046" s="5">
        <v>45975</v>
      </c>
      <c r="B1046">
        <f>(Prices!B214/Prices!B213)-1</f>
        <v>7.8348870107729507E-3</v>
      </c>
      <c r="C1046">
        <f>(Prices!C214/Prices!C213)-1</f>
        <v>-1.3517252282518433E-2</v>
      </c>
      <c r="D1046">
        <f>(Prices!D214/Prices!D213)-1</f>
        <v>-1.2827090815803022E-2</v>
      </c>
      <c r="E1046">
        <f>(Prices!E214/Prices!E213)-1</f>
        <v>1.9341261357562756E-2</v>
      </c>
      <c r="F1046">
        <f>(Prices!F214/Prices!F213)-1</f>
        <v>3.3140888647889888E-2</v>
      </c>
      <c r="G1046">
        <f t="shared" si="64"/>
        <v>6.794538783580828E-3</v>
      </c>
      <c r="H1046" s="8">
        <f t="shared" si="67"/>
        <v>628313.4291489725</v>
      </c>
      <c r="I1046" s="8">
        <f t="shared" si="65"/>
        <v>1067100.1647020529</v>
      </c>
      <c r="J1046" s="13">
        <f t="shared" si="66"/>
        <v>-0.41119545293631821</v>
      </c>
    </row>
    <row r="1047" spans="1:10" x14ac:dyDescent="0.25">
      <c r="A1047" s="6">
        <v>45978</v>
      </c>
      <c r="B1047">
        <f>(Prices!B213/Prices!B212)-1</f>
        <v>-3.0216687772618434E-2</v>
      </c>
      <c r="C1047">
        <f>(Prices!C213/Prices!C212)-1</f>
        <v>5.3044601172145267E-3</v>
      </c>
      <c r="D1047">
        <f>(Prices!D213/Prices!D212)-1</f>
        <v>1.3608390396116832E-2</v>
      </c>
      <c r="E1047">
        <f>(Prices!E213/Prices!E212)-1</f>
        <v>1.0804970286331761E-2</v>
      </c>
      <c r="F1047">
        <f>(Prices!F213/Prices!F212)-1</f>
        <v>4.1638640658532289E-3</v>
      </c>
      <c r="G1047">
        <f t="shared" si="64"/>
        <v>7.3299941857958323E-4</v>
      </c>
      <c r="H1047" s="8">
        <f t="shared" si="67"/>
        <v>628773.98252722446</v>
      </c>
      <c r="I1047" s="8">
        <f t="shared" si="65"/>
        <v>1067100.1647020529</v>
      </c>
      <c r="J1047" s="13">
        <f t="shared" si="66"/>
        <v>-0.41076385954566352</v>
      </c>
    </row>
    <row r="1048" spans="1:10" x14ac:dyDescent="0.25">
      <c r="A1048" s="5">
        <v>45979</v>
      </c>
      <c r="B1048">
        <f>(Prices!B212/Prices!B211)-1</f>
        <v>2.6098610425335789E-3</v>
      </c>
      <c r="C1048">
        <f>(Prices!C212/Prices!C211)-1</f>
        <v>2.7748284874224094E-2</v>
      </c>
      <c r="D1048">
        <f>(Prices!D212/Prices!D211)-1</f>
        <v>-1.1312023309623775E-2</v>
      </c>
      <c r="E1048">
        <f>(Prices!E212/Prices!E211)-1</f>
        <v>3.1840661201816278E-3</v>
      </c>
      <c r="F1048">
        <f>(Prices!F212/Prices!F211)-1</f>
        <v>2.2131281715501716E-2</v>
      </c>
      <c r="G1048">
        <f t="shared" si="64"/>
        <v>8.8722940885634493E-3</v>
      </c>
      <c r="H1048" s="8">
        <f t="shared" si="67"/>
        <v>634352.65021544322</v>
      </c>
      <c r="I1048" s="8">
        <f t="shared" si="65"/>
        <v>1067100.1647020529</v>
      </c>
      <c r="J1048" s="13">
        <f t="shared" si="66"/>
        <v>-0.40553598321994261</v>
      </c>
    </row>
    <row r="1049" spans="1:10" x14ac:dyDescent="0.25">
      <c r="A1049" s="6">
        <v>45980</v>
      </c>
      <c r="B1049">
        <f>(Prices!B211/Prices!B210)-1</f>
        <v>-2.9138846087998549E-2</v>
      </c>
      <c r="C1049">
        <f>(Prices!C211/Prices!C210)-1</f>
        <v>1.3702032537152853E-2</v>
      </c>
      <c r="D1049">
        <f>(Prices!D211/Prices!D210)-1</f>
        <v>1.4342837273991549E-2</v>
      </c>
      <c r="E1049">
        <f>(Prices!E211/Prices!E210)-1</f>
        <v>-1.2708180054845641E-2</v>
      </c>
      <c r="F1049">
        <f>(Prices!F211/Prices!F210)-1</f>
        <v>1.4548111734812519E-2</v>
      </c>
      <c r="G1049">
        <f t="shared" si="64"/>
        <v>1.4919108062254631E-4</v>
      </c>
      <c r="H1049" s="8">
        <f t="shared" si="67"/>
        <v>634447.28997282463</v>
      </c>
      <c r="I1049" s="8">
        <f t="shared" si="65"/>
        <v>1067100.1647020529</v>
      </c>
      <c r="J1049" s="13">
        <f t="shared" si="66"/>
        <v>-0.40544729449088796</v>
      </c>
    </row>
    <row r="1050" spans="1:10" x14ac:dyDescent="0.25">
      <c r="A1050" s="5">
        <v>45981</v>
      </c>
      <c r="B1050">
        <f>(Prices!B210/Prices!B209)-1</f>
        <v>1.160374090751648E-2</v>
      </c>
      <c r="C1050">
        <f>(Prices!C210/Prices!C209)-1</f>
        <v>1.6259649565637968E-2</v>
      </c>
      <c r="D1050">
        <f>(Prices!D210/Prices!D209)-1</f>
        <v>2.7894002789401462E-3</v>
      </c>
      <c r="E1050">
        <f>(Prices!E210/Prices!E209)-1</f>
        <v>1.6383412644459527E-2</v>
      </c>
      <c r="F1050">
        <f>(Prices!F210/Prices!F209)-1</f>
        <v>-7.8758320701245443E-3</v>
      </c>
      <c r="G1050">
        <f t="shared" si="64"/>
        <v>7.8320742652859144E-3</v>
      </c>
      <c r="H1050" s="8">
        <f t="shared" si="67"/>
        <v>639416.32826530118</v>
      </c>
      <c r="I1050" s="8">
        <f t="shared" si="65"/>
        <v>1067100.1647020529</v>
      </c>
      <c r="J1050" s="13">
        <f t="shared" si="66"/>
        <v>-0.40079071354671392</v>
      </c>
    </row>
    <row r="1051" spans="1:10" x14ac:dyDescent="0.25">
      <c r="A1051" s="6">
        <v>45982</v>
      </c>
      <c r="B1051">
        <f>(Prices!B209/Prices!B208)-1</f>
        <v>-3.4060492505353368E-2</v>
      </c>
      <c r="C1051">
        <f>(Prices!C209/Prices!C208)-1</f>
        <v>1.3364880419491021E-2</v>
      </c>
      <c r="D1051">
        <f>(Prices!D209/Prices!D208)-1</f>
        <v>-5.2273915316258801E-4</v>
      </c>
      <c r="E1051">
        <f>(Prices!E209/Prices!E208)-1</f>
        <v>1.1910838863364859E-3</v>
      </c>
      <c r="F1051">
        <f>(Prices!F209/Prices!F208)-1</f>
        <v>-2.6341964257066919E-2</v>
      </c>
      <c r="G1051">
        <f t="shared" si="64"/>
        <v>-9.273846321951074E-3</v>
      </c>
      <c r="H1051" s="8">
        <f t="shared" si="67"/>
        <v>633486.47950122261</v>
      </c>
      <c r="I1051" s="8">
        <f t="shared" si="65"/>
        <v>1067100.1647020529</v>
      </c>
      <c r="J1051" s="13">
        <f t="shared" si="66"/>
        <v>-0.40634768838396762</v>
      </c>
    </row>
    <row r="1052" spans="1:10" x14ac:dyDescent="0.25">
      <c r="A1052" s="5">
        <v>45985</v>
      </c>
      <c r="B1052">
        <f>(Prices!B208/Prices!B207)-1</f>
        <v>-5.9386309992132236E-2</v>
      </c>
      <c r="C1052">
        <f>(Prices!C208/Prices!C207)-1</f>
        <v>-3.970191715674809E-3</v>
      </c>
      <c r="D1052">
        <f>(Prices!D208/Prices!D207)-1</f>
        <v>9.5874747119359949E-3</v>
      </c>
      <c r="E1052">
        <f>(Prices!E208/Prices!E207)-1</f>
        <v>6.8066569104630048E-5</v>
      </c>
      <c r="F1052">
        <f>(Prices!F208/Prices!F207)-1</f>
        <v>2.896032435563356E-3</v>
      </c>
      <c r="G1052">
        <f t="shared" si="64"/>
        <v>-1.0160985598240611E-2</v>
      </c>
      <c r="H1052" s="8">
        <f t="shared" si="67"/>
        <v>627049.6325063305</v>
      </c>
      <c r="I1052" s="8">
        <f t="shared" si="65"/>
        <v>1067100.1647020529</v>
      </c>
      <c r="J1052" s="13">
        <f t="shared" si="66"/>
        <v>-0.41237978097266043</v>
      </c>
    </row>
    <row r="1053" spans="1:10" x14ac:dyDescent="0.25">
      <c r="A1053" s="6">
        <v>45986</v>
      </c>
      <c r="B1053">
        <f>(Prices!B207/Prices!B206)-1</f>
        <v>-1.5034097954122805E-2</v>
      </c>
      <c r="C1053">
        <f>(Prices!C207/Prices!C206)-1</f>
        <v>-6.2660871766742066E-3</v>
      </c>
      <c r="D1053">
        <f>(Prices!D207/Prices!D206)-1</f>
        <v>1.2738286121503517E-2</v>
      </c>
      <c r="E1053">
        <f>(Prices!E207/Prices!E206)-1</f>
        <v>-1.6501539697415968E-2</v>
      </c>
      <c r="F1053">
        <f>(Prices!F207/Prices!F206)-1</f>
        <v>-2.2182367377761025E-2</v>
      </c>
      <c r="G1053">
        <f t="shared" si="64"/>
        <v>-9.4491612168940975E-3</v>
      </c>
      <c r="H1053" s="8">
        <f t="shared" si="67"/>
        <v>621124.539437784</v>
      </c>
      <c r="I1053" s="8">
        <f t="shared" si="65"/>
        <v>1067100.1647020529</v>
      </c>
      <c r="J1053" s="13">
        <f t="shared" si="66"/>
        <v>-0.41793229915655633</v>
      </c>
    </row>
    <row r="1054" spans="1:10" x14ac:dyDescent="0.25">
      <c r="A1054" s="5">
        <v>45987</v>
      </c>
      <c r="B1054">
        <f>(Prices!B206/Prices!B205)-1</f>
        <v>1.090498871897716E-2</v>
      </c>
      <c r="C1054">
        <f>(Prices!C206/Prices!C205)-1</f>
        <v>-1.7535859381477392E-2</v>
      </c>
      <c r="D1054">
        <f>(Prices!D206/Prices!D205)-1</f>
        <v>-2.2220247089147493E-3</v>
      </c>
      <c r="E1054">
        <f>(Prices!E206/Prices!E205)-1</f>
        <v>-1.506609962746841E-2</v>
      </c>
      <c r="F1054">
        <f>(Prices!F206/Prices!F205)-1</f>
        <v>-1.0399800722381447E-2</v>
      </c>
      <c r="G1054">
        <f t="shared" si="64"/>
        <v>-6.8637591442529677E-3</v>
      </c>
      <c r="H1054" s="8">
        <f t="shared" si="67"/>
        <v>616861.29020049796</v>
      </c>
      <c r="I1054" s="8">
        <f t="shared" si="65"/>
        <v>1067100.1647020529</v>
      </c>
      <c r="J1054" s="13">
        <f t="shared" si="66"/>
        <v>-0.42192747166079486</v>
      </c>
    </row>
    <row r="1055" spans="1:10" x14ac:dyDescent="0.25">
      <c r="A1055" s="6">
        <v>45989</v>
      </c>
      <c r="B1055">
        <f>(Prices!B205/Prices!B204)-1</f>
        <v>-7.2021293251922636E-4</v>
      </c>
      <c r="C1055">
        <f>(Prices!C205/Prices!C204)-1</f>
        <v>-1.3233519461659626E-2</v>
      </c>
      <c r="D1055">
        <f>(Prices!D205/Prices!D204)-1</f>
        <v>-9.9436818021823026E-3</v>
      </c>
      <c r="E1055">
        <f>(Prices!E205/Prices!E204)-1</f>
        <v>-1.7395529640427565E-2</v>
      </c>
      <c r="F1055">
        <f>(Prices!F205/Prices!F204)-1</f>
        <v>-1.8678787124093432E-4</v>
      </c>
      <c r="G1055">
        <f t="shared" si="64"/>
        <v>-8.2959463416059313E-3</v>
      </c>
      <c r="H1055" s="8">
        <f t="shared" si="67"/>
        <v>611743.84203678078</v>
      </c>
      <c r="I1055" s="8">
        <f t="shared" si="65"/>
        <v>1067100.1647020529</v>
      </c>
      <c r="J1055" s="13">
        <f t="shared" si="66"/>
        <v>-0.4267231303374534</v>
      </c>
    </row>
    <row r="1056" spans="1:10" x14ac:dyDescent="0.25">
      <c r="A1056" s="5">
        <v>45992</v>
      </c>
      <c r="B1056">
        <f>(Prices!B204/Prices!B203)-1</f>
        <v>1.6811538828923611E-2</v>
      </c>
      <c r="C1056">
        <f>(Prices!C204/Prices!C203)-1</f>
        <v>1.083383298529994E-2</v>
      </c>
      <c r="D1056">
        <f>(Prices!D204/Prices!D203)-1</f>
        <v>-6.1220920062969864E-3</v>
      </c>
      <c r="E1056">
        <f>(Prices!E204/Prices!E203)-1</f>
        <v>1.3493548704816449E-2</v>
      </c>
      <c r="F1056">
        <f>(Prices!F204/Prices!F203)-1</f>
        <v>2.0296668043070953E-2</v>
      </c>
      <c r="G1056">
        <f t="shared" si="64"/>
        <v>1.1062699311162796E-2</v>
      </c>
      <c r="H1056" s="8">
        <f t="shared" si="67"/>
        <v>618511.3802166892</v>
      </c>
      <c r="I1056" s="8">
        <f t="shared" si="65"/>
        <v>1067100.1647020529</v>
      </c>
      <c r="J1056" s="13">
        <f t="shared" si="66"/>
        <v>-0.42038114070633198</v>
      </c>
    </row>
    <row r="1057" spans="1:10" x14ac:dyDescent="0.25">
      <c r="A1057" s="6">
        <v>45993</v>
      </c>
      <c r="B1057">
        <f>(Prices!B203/Prices!B202)-1</f>
        <v>-2.9207276421474582E-3</v>
      </c>
      <c r="C1057">
        <f>(Prices!C203/Prices!C202)-1</f>
        <v>-6.6542071430039096E-3</v>
      </c>
      <c r="D1057">
        <f>(Prices!D203/Prices!D202)-1</f>
        <v>1.0874370082220919E-2</v>
      </c>
      <c r="E1057">
        <f>(Prices!E203/Prices!E202)-1</f>
        <v>3.3600158118389789E-3</v>
      </c>
      <c r="F1057">
        <f>(Prices!F203/Prices!F202)-1</f>
        <v>-4.0807288371504935E-3</v>
      </c>
      <c r="G1057">
        <f t="shared" si="64"/>
        <v>1.1574445435160743E-4</v>
      </c>
      <c r="H1057" s="8">
        <f t="shared" si="67"/>
        <v>618582.96947890264</v>
      </c>
      <c r="I1057" s="8">
        <f t="shared" si="65"/>
        <v>1067100.1647020529</v>
      </c>
      <c r="J1057" s="13">
        <f t="shared" si="66"/>
        <v>-0.42031405303773112</v>
      </c>
    </row>
    <row r="1058" spans="1:10" x14ac:dyDescent="0.25">
      <c r="A1058" s="5">
        <v>45994</v>
      </c>
      <c r="B1058">
        <f>(Prices!B202/Prices!B201)-1</f>
        <v>-1.1951066499372609E-2</v>
      </c>
      <c r="C1058">
        <f>(Prices!C202/Prices!C201)-1</f>
        <v>2.5678294573643345E-2</v>
      </c>
      <c r="D1058">
        <f>(Prices!D202/Prices!D201)-1</f>
        <v>-2.0523034291652253E-2</v>
      </c>
      <c r="E1058">
        <f>(Prices!E202/Prices!E201)-1</f>
        <v>-1.3614504808941996E-2</v>
      </c>
      <c r="F1058">
        <f>(Prices!F202/Prices!F201)-1</f>
        <v>-4.4666062254457461E-2</v>
      </c>
      <c r="G1058">
        <f t="shared" si="64"/>
        <v>-1.3015274656156196E-2</v>
      </c>
      <c r="H1058" s="8">
        <f t="shared" si="67"/>
        <v>610531.94223351404</v>
      </c>
      <c r="I1058" s="8">
        <f t="shared" si="65"/>
        <v>1067100.1647020529</v>
      </c>
      <c r="J1058" s="13">
        <f t="shared" si="66"/>
        <v>-0.42785882485175902</v>
      </c>
    </row>
    <row r="1059" spans="1:10" x14ac:dyDescent="0.25">
      <c r="A1059" s="6">
        <v>45995</v>
      </c>
      <c r="B1059">
        <f>(Prices!B201/Prices!B200)-1</f>
        <v>6.3131313131312705E-3</v>
      </c>
      <c r="C1059">
        <f>(Prices!C201/Prices!C200)-1</f>
        <v>-6.4670057135680636E-3</v>
      </c>
      <c r="D1059">
        <f>(Prices!D201/Prices!D200)-1</f>
        <v>5.5729710902123752E-3</v>
      </c>
      <c r="E1059">
        <f>(Prices!E201/Prices!E200)-1</f>
        <v>-1.2545320370905166E-2</v>
      </c>
      <c r="F1059">
        <f>(Prices!F201/Prices!F200)-1</f>
        <v>1.865533801256003E-2</v>
      </c>
      <c r="G1059">
        <f t="shared" si="64"/>
        <v>2.3058228662860896E-3</v>
      </c>
      <c r="H1059" s="8">
        <f t="shared" si="67"/>
        <v>611939.72074651404</v>
      </c>
      <c r="I1059" s="8">
        <f t="shared" si="65"/>
        <v>1067100.1647020529</v>
      </c>
      <c r="J1059" s="13">
        <f t="shared" si="66"/>
        <v>-0.42653956864735854</v>
      </c>
    </row>
    <row r="1060" spans="1:10" x14ac:dyDescent="0.25">
      <c r="A1060" s="5">
        <v>45996</v>
      </c>
      <c r="B1060">
        <f>(Prices!B200/Prices!B199)-1</f>
        <v>-1.135938085132937E-2</v>
      </c>
      <c r="C1060">
        <f>(Prices!C200/Prices!C199)-1</f>
        <v>-4.7905688279769043E-3</v>
      </c>
      <c r="D1060">
        <f>(Prices!D200/Prices!D199)-1</f>
        <v>5.1641137855580332E-3</v>
      </c>
      <c r="E1060">
        <f>(Prices!E200/Prices!E199)-1</f>
        <v>3.3480346392815719E-3</v>
      </c>
      <c r="F1060">
        <f>(Prices!F200/Prices!F199)-1</f>
        <v>7.7870505382682254E-3</v>
      </c>
      <c r="G1060">
        <f t="shared" si="64"/>
        <v>2.9849856760310895E-5</v>
      </c>
      <c r="H1060" s="8">
        <f t="shared" si="67"/>
        <v>611957.98705952428</v>
      </c>
      <c r="I1060" s="8">
        <f t="shared" si="65"/>
        <v>1067100.1647020529</v>
      </c>
      <c r="J1060" s="13">
        <f t="shared" si="66"/>
        <v>-0.42652245093562491</v>
      </c>
    </row>
    <row r="1061" spans="1:10" x14ac:dyDescent="0.25">
      <c r="A1061" s="6">
        <v>45999</v>
      </c>
      <c r="B1061">
        <f>(Prices!B199/Prices!B198)-1</f>
        <v>2.3410303088371442E-2</v>
      </c>
      <c r="C1061">
        <f>(Prices!C199/Prices!C198)-1</f>
        <v>-1.6006722413510421E-2</v>
      </c>
      <c r="D1061">
        <f>(Prices!D199/Prices!D198)-1</f>
        <v>4.837291116974507E-3</v>
      </c>
      <c r="E1061">
        <f>(Prices!E199/Prices!E198)-1</f>
        <v>-5.4697554697558104E-4</v>
      </c>
      <c r="F1061">
        <f>(Prices!F199/Prices!F198)-1</f>
        <v>1.5692453127461592E-2</v>
      </c>
      <c r="G1061">
        <f t="shared" si="64"/>
        <v>5.4772698744643081E-3</v>
      </c>
      <c r="H1061" s="8">
        <f t="shared" si="67"/>
        <v>615309.84610648325</v>
      </c>
      <c r="I1061" s="8">
        <f t="shared" si="65"/>
        <v>1067100.1647020529</v>
      </c>
      <c r="J1061" s="13">
        <f t="shared" si="66"/>
        <v>-0.42338135963245299</v>
      </c>
    </row>
    <row r="1062" spans="1:10" x14ac:dyDescent="0.25">
      <c r="A1062" s="5">
        <v>46000</v>
      </c>
      <c r="B1062">
        <f>(Prices!B198/Prices!B197)-1</f>
        <v>-1.0585856032357843E-2</v>
      </c>
      <c r="C1062">
        <f>(Prices!C198/Prices!C197)-1</f>
        <v>-2.0453243884479555E-3</v>
      </c>
      <c r="D1062">
        <f>(Prices!D198/Prices!D197)-1</f>
        <v>-1.9151138716356098E-2</v>
      </c>
      <c r="E1062">
        <f>(Prices!E198/Prices!E197)-1</f>
        <v>4.8936888288896307E-2</v>
      </c>
      <c r="F1062">
        <f>(Prices!F198/Prices!F197)-1</f>
        <v>6.3025872120592297E-5</v>
      </c>
      <c r="G1062">
        <f t="shared" si="64"/>
        <v>3.4435190047710008E-3</v>
      </c>
      <c r="H1062" s="8">
        <f t="shared" si="67"/>
        <v>617428.67725537368</v>
      </c>
      <c r="I1062" s="8">
        <f t="shared" si="65"/>
        <v>1067100.1647020529</v>
      </c>
      <c r="J1062" s="13">
        <f t="shared" si="66"/>
        <v>-0.42139576238584209</v>
      </c>
    </row>
    <row r="1063" spans="1:10" x14ac:dyDescent="0.25">
      <c r="A1063" s="6">
        <v>46001</v>
      </c>
      <c r="B1063">
        <f>(Prices!B197/Prices!B196)-1</f>
        <v>-9.793798304077117E-3</v>
      </c>
      <c r="C1063">
        <f>(Prices!C197/Prices!C196)-1</f>
        <v>2.8136434369348429E-2</v>
      </c>
      <c r="D1063">
        <f>(Prices!D197/Prices!D196)-1</f>
        <v>-1.0837102141820987E-2</v>
      </c>
      <c r="E1063">
        <f>(Prices!E197/Prices!E196)-1</f>
        <v>-3.0970991267946446E-2</v>
      </c>
      <c r="F1063">
        <f>(Prices!F197/Prices!F196)-1</f>
        <v>-1.4503105590062182E-2</v>
      </c>
      <c r="G1063">
        <f t="shared" si="64"/>
        <v>-7.5937125869116615E-3</v>
      </c>
      <c r="H1063" s="8">
        <f t="shared" si="67"/>
        <v>612740.10133737931</v>
      </c>
      <c r="I1063" s="8">
        <f t="shared" si="65"/>
        <v>1067100.1647020529</v>
      </c>
      <c r="J1063" s="13">
        <f t="shared" si="66"/>
        <v>-0.4257895166678532</v>
      </c>
    </row>
    <row r="1064" spans="1:10" x14ac:dyDescent="0.25">
      <c r="A1064" s="5">
        <v>46002</v>
      </c>
      <c r="B1064">
        <f>(Prices!B196/Prices!B195)-1</f>
        <v>2.4918222051183214E-2</v>
      </c>
      <c r="C1064">
        <f>(Prices!C196/Prices!C195)-1</f>
        <v>-1.0157778610382584E-2</v>
      </c>
      <c r="D1064">
        <f>(Prices!D196/Prices!D195)-1</f>
        <v>0</v>
      </c>
      <c r="E1064">
        <f>(Prices!E196/Prices!E195)-1</f>
        <v>-2.2911740269700331E-2</v>
      </c>
      <c r="F1064">
        <f>(Prices!F196/Prices!F195)-1</f>
        <v>-2.4833434282253153E-2</v>
      </c>
      <c r="G1064">
        <f t="shared" si="64"/>
        <v>-6.5969462222305719E-3</v>
      </c>
      <c r="H1064" s="8">
        <f t="shared" si="67"/>
        <v>608697.88784065249</v>
      </c>
      <c r="I1064" s="8">
        <f t="shared" si="65"/>
        <v>1067100.1647020529</v>
      </c>
      <c r="J1064" s="13">
        <f t="shared" si="66"/>
        <v>-0.42957755234663636</v>
      </c>
    </row>
    <row r="1065" spans="1:10" x14ac:dyDescent="0.25">
      <c r="A1065" s="6">
        <v>46003</v>
      </c>
      <c r="B1065">
        <f>(Prices!B195/Prices!B194)-1</f>
        <v>1.0139622274774052E-2</v>
      </c>
      <c r="C1065">
        <f>(Prices!C195/Prices!C194)-1</f>
        <v>1.0325755504616119E-2</v>
      </c>
      <c r="D1065">
        <f>(Prices!D195/Prices!D194)-1</f>
        <v>6.095467032966928E-3</v>
      </c>
      <c r="E1065">
        <f>(Prices!E195/Prices!E194)-1</f>
        <v>-3.5661975418710412E-3</v>
      </c>
      <c r="F1065">
        <f>(Prices!F195/Prices!F194)-1</f>
        <v>-1.4945854837266181E-2</v>
      </c>
      <c r="G1065">
        <f t="shared" si="64"/>
        <v>1.6097584866439753E-3</v>
      </c>
      <c r="H1065" s="8">
        <f t="shared" si="67"/>
        <v>609677.74443140626</v>
      </c>
      <c r="I1065" s="8">
        <f t="shared" si="65"/>
        <v>1067100.1647020529</v>
      </c>
      <c r="J1065" s="13">
        <f t="shared" si="66"/>
        <v>-0.42865930997055413</v>
      </c>
    </row>
    <row r="1066" spans="1:10" x14ac:dyDescent="0.25">
      <c r="A1066" s="5">
        <v>46006</v>
      </c>
      <c r="B1066">
        <f>(Prices!B194/Prices!B193)-1</f>
        <v>3.4783174045900367E-3</v>
      </c>
      <c r="C1066">
        <f>(Prices!C194/Prices!C193)-1</f>
        <v>7.7994192823687136E-3</v>
      </c>
      <c r="D1066">
        <f>(Prices!D194/Prices!D193)-1</f>
        <v>9.009009009009139E-3</v>
      </c>
      <c r="E1066">
        <f>(Prices!E194/Prices!E193)-1</f>
        <v>-4.6903720605946386E-3</v>
      </c>
      <c r="F1066">
        <f>(Prices!F194/Prices!F193)-1</f>
        <v>2.1525307184069309E-3</v>
      </c>
      <c r="G1066">
        <f t="shared" si="64"/>
        <v>3.5497808707560365E-3</v>
      </c>
      <c r="H1066" s="8">
        <f t="shared" si="67"/>
        <v>611841.96682591457</v>
      </c>
      <c r="I1066" s="8">
        <f t="shared" si="65"/>
        <v>1067100.1647020529</v>
      </c>
      <c r="J1066" s="13">
        <f t="shared" si="66"/>
        <v>-0.42663117571840303</v>
      </c>
    </row>
    <row r="1067" spans="1:10" x14ac:dyDescent="0.25">
      <c r="A1067" s="6">
        <v>46007</v>
      </c>
      <c r="B1067">
        <f>(Prices!B193/Prices!B192)-1</f>
        <v>5.3926855574075727E-3</v>
      </c>
      <c r="C1067">
        <f>(Prices!C193/Prices!C192)-1</f>
        <v>-3.2953801305477537E-3</v>
      </c>
      <c r="D1067">
        <f>(Prices!D193/Prices!D192)-1</f>
        <v>2.6863547411492661E-2</v>
      </c>
      <c r="E1067">
        <f>(Prices!E193/Prices!E192)-1</f>
        <v>1.417413942724921E-2</v>
      </c>
      <c r="F1067">
        <f>(Prices!F193/Prices!F192)-1</f>
        <v>2.0657878676919372E-2</v>
      </c>
      <c r="G1067">
        <f t="shared" si="64"/>
        <v>1.2758574188504214E-2</v>
      </c>
      <c r="H1067" s="8">
        <f t="shared" si="67"/>
        <v>619648.19795130333</v>
      </c>
      <c r="I1067" s="8">
        <f t="shared" si="65"/>
        <v>1067100.1647020529</v>
      </c>
      <c r="J1067" s="13">
        <f t="shared" si="66"/>
        <v>-0.41931580703643084</v>
      </c>
    </row>
    <row r="1068" spans="1:10" x14ac:dyDescent="0.25">
      <c r="A1068" s="5">
        <v>46008</v>
      </c>
      <c r="B1068">
        <f>(Prices!B192/Prices!B191)-1</f>
        <v>3.319375970824634E-2</v>
      </c>
      <c r="C1068">
        <f>(Prices!C192/Prices!C191)-1</f>
        <v>5.7067974298274926E-4</v>
      </c>
      <c r="D1068">
        <f>(Prices!D192/Prices!D191)-1</f>
        <v>-2.3284100781928663E-2</v>
      </c>
      <c r="E1068">
        <f>(Prices!E192/Prices!E191)-1</f>
        <v>1.8031361689796466E-3</v>
      </c>
      <c r="F1068">
        <f>(Prices!F192/Prices!F191)-1</f>
        <v>7.7490774907751359E-3</v>
      </c>
      <c r="G1068">
        <f t="shared" si="64"/>
        <v>4.0065104658110421E-3</v>
      </c>
      <c r="H1068" s="8">
        <f t="shared" si="67"/>
        <v>622130.82494151627</v>
      </c>
      <c r="I1068" s="8">
        <f t="shared" si="65"/>
        <v>1067100.1647020529</v>
      </c>
      <c r="J1068" s="13">
        <f t="shared" si="66"/>
        <v>-0.41698928973999116</v>
      </c>
    </row>
    <row r="1069" spans="1:10" x14ac:dyDescent="0.25">
      <c r="A1069" s="6">
        <v>46009</v>
      </c>
      <c r="B1069">
        <f>(Prices!B191/Prices!B190)-1</f>
        <v>-1.8981680855997718E-2</v>
      </c>
      <c r="C1069">
        <f>(Prices!C191/Prices!C190)-1</f>
        <v>-1.6239369554820859E-2</v>
      </c>
      <c r="D1069">
        <f>(Prices!D191/Prices!D190)-1</f>
        <v>7.4398249452953813E-3</v>
      </c>
      <c r="E1069">
        <f>(Prices!E191/Prices!E190)-1</f>
        <v>6.3184498736310601E-3</v>
      </c>
      <c r="F1069">
        <f>(Prices!F191/Prices!F190)-1</f>
        <v>1.0628379638262242E-2</v>
      </c>
      <c r="G1069">
        <f t="shared" si="64"/>
        <v>-2.1668791907259784E-3</v>
      </c>
      <c r="H1069" s="8">
        <f t="shared" si="67"/>
        <v>620782.74260304135</v>
      </c>
      <c r="I1069" s="8">
        <f t="shared" si="65"/>
        <v>1067100.1647020529</v>
      </c>
      <c r="J1069" s="13">
        <f t="shared" si="66"/>
        <v>-0.41825260351602395</v>
      </c>
    </row>
    <row r="1070" spans="1:10" x14ac:dyDescent="0.25">
      <c r="A1070" s="5">
        <v>46010</v>
      </c>
      <c r="B1070">
        <f>(Prices!B190/Prices!B189)-1</f>
        <v>-1.5298799582463496E-2</v>
      </c>
      <c r="C1070">
        <f>(Prices!C190/Prices!C189)-1</f>
        <v>-3.9970177691256437E-3</v>
      </c>
      <c r="D1070">
        <f>(Prices!D190/Prices!D189)-1</f>
        <v>-1.311188811188857E-3</v>
      </c>
      <c r="E1070">
        <f>(Prices!E190/Prices!E189)-1</f>
        <v>-1.3268535984908958E-2</v>
      </c>
      <c r="F1070">
        <f>(Prices!F190/Prices!F189)-1</f>
        <v>2.2113557791134664E-3</v>
      </c>
      <c r="G1070">
        <f t="shared" si="64"/>
        <v>-6.3328372737146985E-3</v>
      </c>
      <c r="H1070" s="8">
        <f t="shared" si="67"/>
        <v>616851.42651180597</v>
      </c>
      <c r="I1070" s="8">
        <f t="shared" si="65"/>
        <v>1067100.1647020529</v>
      </c>
      <c r="J1070" s="13">
        <f t="shared" si="66"/>
        <v>-0.42193671511236414</v>
      </c>
    </row>
    <row r="1071" spans="1:10" x14ac:dyDescent="0.25">
      <c r="A1071" s="6">
        <v>46013</v>
      </c>
      <c r="B1071">
        <f>(Prices!B189/Prices!B188)-1</f>
        <v>-8.4740280742610086E-3</v>
      </c>
      <c r="C1071">
        <f>(Prices!C189/Prices!C188)-1</f>
        <v>2.0752915784667536E-3</v>
      </c>
      <c r="D1071">
        <f>(Prices!D189/Prices!D188)-1</f>
        <v>-1.2345679012345623E-2</v>
      </c>
      <c r="E1071">
        <f>(Prices!E189/Prices!E188)-1</f>
        <v>-1.8206359669774352E-2</v>
      </c>
      <c r="F1071">
        <f>(Prices!F189/Prices!F188)-1</f>
        <v>6.9309414790188484E-3</v>
      </c>
      <c r="G1071">
        <f t="shared" si="64"/>
        <v>-6.0039667397790769E-3</v>
      </c>
      <c r="H1071" s="8">
        <f t="shared" si="67"/>
        <v>613147.87106364383</v>
      </c>
      <c r="I1071" s="8">
        <f t="shared" si="65"/>
        <v>1067100.1647020529</v>
      </c>
      <c r="J1071" s="13">
        <f t="shared" si="66"/>
        <v>-0.42540738784831694</v>
      </c>
    </row>
    <row r="1072" spans="1:10" x14ac:dyDescent="0.25">
      <c r="A1072" s="5">
        <v>46014</v>
      </c>
      <c r="B1072">
        <f>(Prices!B188/Prices!B187)-1</f>
        <v>-1.4534327787339874E-2</v>
      </c>
      <c r="C1072">
        <f>(Prices!C188/Prices!C187)-1</f>
        <v>-3.9687461242712274E-3</v>
      </c>
      <c r="D1072">
        <f>(Prices!D188/Prices!D187)-1</f>
        <v>-1.059195353207476E-2</v>
      </c>
      <c r="E1072">
        <f>(Prices!E188/Prices!E187)-1</f>
        <v>-8.7126987584404958E-3</v>
      </c>
      <c r="F1072">
        <f>(Prices!F188/Prices!F187)-1</f>
        <v>1.1302982731553612E-3</v>
      </c>
      <c r="G1072">
        <f t="shared" si="64"/>
        <v>-7.3354855857941997E-3</v>
      </c>
      <c r="H1072" s="8">
        <f t="shared" si="67"/>
        <v>608650.13369349611</v>
      </c>
      <c r="I1072" s="8">
        <f t="shared" si="65"/>
        <v>1067100.1647020529</v>
      </c>
      <c r="J1072" s="13">
        <f t="shared" si="66"/>
        <v>-0.4296223036724594</v>
      </c>
    </row>
    <row r="1073" spans="1:10" x14ac:dyDescent="0.25">
      <c r="A1073" s="6">
        <v>46015</v>
      </c>
      <c r="B1073">
        <f>(Prices!B187/Prices!B186)-1</f>
        <v>8.2939900472123185E-4</v>
      </c>
      <c r="C1073">
        <f>(Prices!C187/Prices!C186)-1</f>
        <v>-2.3920485008455117E-3</v>
      </c>
      <c r="D1073">
        <f>(Prices!D187/Prices!D186)-1</f>
        <v>1.6255989048596931E-3</v>
      </c>
      <c r="E1073">
        <f>(Prices!E187/Prices!E186)-1</f>
        <v>-9.8286911510968578E-3</v>
      </c>
      <c r="F1073">
        <f>(Prices!F187/Prices!F186)-1</f>
        <v>-8.4985835694051381E-3</v>
      </c>
      <c r="G1073">
        <f t="shared" si="64"/>
        <v>-3.6528650623533165E-3</v>
      </c>
      <c r="H1073" s="8">
        <f t="shared" si="67"/>
        <v>606426.81688493048</v>
      </c>
      <c r="I1073" s="8">
        <f t="shared" si="65"/>
        <v>1067100.1647020529</v>
      </c>
      <c r="J1073" s="13">
        <f t="shared" si="66"/>
        <v>-0.43170581643171985</v>
      </c>
    </row>
    <row r="1074" spans="1:10" x14ac:dyDescent="0.25">
      <c r="A1074" s="5">
        <v>46017</v>
      </c>
      <c r="B1074">
        <f>(Prices!B186/Prices!B185)-1</f>
        <v>1.8536273569831341E-3</v>
      </c>
      <c r="C1074">
        <f>(Prices!C186/Prices!C185)-1</f>
        <v>6.1901617695614419E-4</v>
      </c>
      <c r="D1074">
        <f>(Prices!D186/Prices!D185)-1</f>
        <v>9.420227798235814E-4</v>
      </c>
      <c r="E1074">
        <f>(Prices!E186/Prices!E185)-1</f>
        <v>3.8352096993690132E-3</v>
      </c>
      <c r="F1074">
        <f>(Prices!F186/Prices!F185)-1</f>
        <v>-1.2814996926859168E-2</v>
      </c>
      <c r="G1074">
        <f t="shared" si="64"/>
        <v>-1.113024182745459E-3</v>
      </c>
      <c r="H1074" s="8">
        <f t="shared" si="67"/>
        <v>605751.84917267214</v>
      </c>
      <c r="I1074" s="8">
        <f t="shared" si="65"/>
        <v>1067100.1647020529</v>
      </c>
      <c r="J1074" s="13">
        <f t="shared" si="66"/>
        <v>-0.43233834160094498</v>
      </c>
    </row>
    <row r="1075" spans="1:10" x14ac:dyDescent="0.25">
      <c r="A1075" s="6">
        <v>46020</v>
      </c>
      <c r="B1075">
        <f>(Prices!B185/Prices!B184)-1</f>
        <v>-1.5976993129895867E-4</v>
      </c>
      <c r="C1075">
        <f>(Prices!C185/Prices!C184)-1</f>
        <v>1.2602524636902146E-3</v>
      </c>
      <c r="D1075">
        <f>(Prices!D185/Prices!D184)-1</f>
        <v>-1.1763710223425816E-2</v>
      </c>
      <c r="E1075">
        <f>(Prices!E185/Prices!E184)-1</f>
        <v>1.2843806779023748E-2</v>
      </c>
      <c r="F1075">
        <f>(Prices!F185/Prices!F184)-1</f>
        <v>8.8045634920634885E-3</v>
      </c>
      <c r="G1075">
        <f t="shared" si="64"/>
        <v>2.1970285160105353E-3</v>
      </c>
      <c r="H1075" s="8">
        <f t="shared" si="67"/>
        <v>607082.70325893059</v>
      </c>
      <c r="I1075" s="8">
        <f t="shared" si="65"/>
        <v>1067100.1647020529</v>
      </c>
      <c r="J1075" s="13">
        <f t="shared" si="66"/>
        <v>-0.43109117274999642</v>
      </c>
    </row>
    <row r="1076" spans="1:10" x14ac:dyDescent="0.25">
      <c r="A1076" s="5">
        <v>46021</v>
      </c>
      <c r="B1076">
        <f>(Prices!B184/Prices!B183)-1</f>
        <v>-9.2580768739636277E-4</v>
      </c>
      <c r="C1076">
        <f>(Prices!C184/Prices!C183)-1</f>
        <v>-7.8445944551108759E-4</v>
      </c>
      <c r="D1076">
        <f>(Prices!D184/Prices!D183)-1</f>
        <v>-3.793946547508642E-3</v>
      </c>
      <c r="E1076">
        <f>(Prices!E184/Prices!E183)-1</f>
        <v>1.0348395998620585E-3</v>
      </c>
      <c r="F1076">
        <f>(Prices!F184/Prices!F183)-1</f>
        <v>-9.7015841827337024E-3</v>
      </c>
      <c r="G1076">
        <f t="shared" si="64"/>
        <v>-2.8341916526575476E-3</v>
      </c>
      <c r="H1076" s="8">
        <f t="shared" si="67"/>
        <v>605362.11452888139</v>
      </c>
      <c r="I1076" s="8">
        <f t="shared" si="65"/>
        <v>1067100.1647020529</v>
      </c>
      <c r="J1076" s="13">
        <f t="shared" si="66"/>
        <v>-0.43270356939931154</v>
      </c>
    </row>
    <row r="1077" spans="1:10" x14ac:dyDescent="0.25">
      <c r="A1077" s="6">
        <v>46022</v>
      </c>
      <c r="B1077">
        <f>(Prices!B183/Prices!B182)-1</f>
        <v>2.7209577771376559E-3</v>
      </c>
      <c r="C1077">
        <f>(Prices!C183/Prices!C182)-1</f>
        <v>7.9905112678695378E-3</v>
      </c>
      <c r="D1077">
        <f>(Prices!D183/Prices!D182)-1</f>
        <v>5.4251080783249694E-3</v>
      </c>
      <c r="E1077">
        <f>(Prices!E183/Prices!E182)-1</f>
        <v>3.7140788769634003E-3</v>
      </c>
      <c r="F1077">
        <f>(Prices!F183/Prices!F182)-1</f>
        <v>6.2092613759230364E-3</v>
      </c>
      <c r="G1077">
        <f t="shared" si="64"/>
        <v>5.211983475243721E-3</v>
      </c>
      <c r="H1077" s="8">
        <f t="shared" si="67"/>
        <v>608517.2518663446</v>
      </c>
      <c r="I1077" s="8">
        <f t="shared" si="65"/>
        <v>1067100.1647020529</v>
      </c>
      <c r="J1077" s="13">
        <f t="shared" si="66"/>
        <v>-0.42974682977745593</v>
      </c>
    </row>
    <row r="1078" spans="1:10" x14ac:dyDescent="0.25">
      <c r="A1078" s="5">
        <v>46024</v>
      </c>
      <c r="B1078">
        <f>(Prices!B182/Prices!B181)-1</f>
        <v>-6.8353786481847312E-3</v>
      </c>
      <c r="C1078">
        <f>(Prices!C182/Prices!C181)-1</f>
        <v>2.2576389479955772E-2</v>
      </c>
      <c r="D1078">
        <f>(Prices!D182/Prices!D181)-1</f>
        <v>-1.8878908848968701E-2</v>
      </c>
      <c r="E1078">
        <f>(Prices!E182/Prices!E181)-1</f>
        <v>-1.0002492833104948E-2</v>
      </c>
      <c r="F1078">
        <f>(Prices!F182/Prices!F181)-1</f>
        <v>-1.8703771068267261E-2</v>
      </c>
      <c r="G1078">
        <f t="shared" si="64"/>
        <v>-6.3688323837139734E-3</v>
      </c>
      <c r="H1078" s="8">
        <f t="shared" si="67"/>
        <v>604641.70748660958</v>
      </c>
      <c r="I1078" s="8">
        <f t="shared" si="65"/>
        <v>1067100.1647020529</v>
      </c>
      <c r="J1078" s="13">
        <f t="shared" si="66"/>
        <v>-0.43337867663488483</v>
      </c>
    </row>
    <row r="1079" spans="1:10" x14ac:dyDescent="0.25">
      <c r="A1079" s="6">
        <v>46027</v>
      </c>
      <c r="B1079">
        <f>(Prices!B181/Prices!B180)-1</f>
        <v>-4.3997087962522885E-3</v>
      </c>
      <c r="C1079">
        <f>(Prices!C181/Prices!C180)-1</f>
        <v>1.9154234149865168E-4</v>
      </c>
      <c r="D1079">
        <f>(Prices!D181/Prices!D180)-1</f>
        <v>-2.1564000325494437E-2</v>
      </c>
      <c r="E1079">
        <f>(Prices!E181/Prices!E180)-1</f>
        <v>-2.5625455428710198E-2</v>
      </c>
      <c r="F1079">
        <f>(Prices!F181/Prices!F180)-1</f>
        <v>-1.6428635320075102E-2</v>
      </c>
      <c r="G1079">
        <f t="shared" si="64"/>
        <v>-1.3565251505806676E-2</v>
      </c>
      <c r="H1079" s="8">
        <f t="shared" si="67"/>
        <v>596439.59065365337</v>
      </c>
      <c r="I1079" s="8">
        <f t="shared" si="65"/>
        <v>1067100.1647020529</v>
      </c>
      <c r="J1079" s="13">
        <f t="shared" si="66"/>
        <v>-0.44106503739488562</v>
      </c>
    </row>
    <row r="1080" spans="1:10" x14ac:dyDescent="0.25">
      <c r="A1080" s="5">
        <v>46028</v>
      </c>
      <c r="B1080">
        <f>(Prices!B180/Prices!B179)-1</f>
        <v>7.012399196761443E-3</v>
      </c>
      <c r="C1080">
        <f>(Prices!C180/Prices!C179)-1</f>
        <v>-1.1819386317272751E-2</v>
      </c>
      <c r="D1080">
        <f>(Prices!D180/Prices!D179)-1</f>
        <v>3.5560798853964792E-2</v>
      </c>
      <c r="E1080">
        <f>(Prices!E180/Prices!E179)-1</f>
        <v>-6.1856914396065665E-3</v>
      </c>
      <c r="F1080">
        <f>(Prices!F180/Prices!F179)-1</f>
        <v>-1.9900642898889598E-2</v>
      </c>
      <c r="G1080">
        <f t="shared" si="64"/>
        <v>9.3349547899146488E-4</v>
      </c>
      <c r="H1080" s="8">
        <f t="shared" si="67"/>
        <v>596996.36431502004</v>
      </c>
      <c r="I1080" s="8">
        <f t="shared" si="65"/>
        <v>1067100.1647020529</v>
      </c>
      <c r="J1080" s="13">
        <f t="shared" si="66"/>
        <v>-0.44054327413424349</v>
      </c>
    </row>
    <row r="1081" spans="1:10" x14ac:dyDescent="0.25">
      <c r="A1081" s="6">
        <v>46029</v>
      </c>
      <c r="B1081">
        <f>(Prices!B179/Prices!B178)-1</f>
        <v>-2.3712463046522525E-2</v>
      </c>
      <c r="C1081">
        <f>(Prices!C179/Prices!C178)-1</f>
        <v>-1.0261854210898758E-2</v>
      </c>
      <c r="D1081">
        <f>(Prices!D179/Prices!D178)-1</f>
        <v>2.1608126721763155E-2</v>
      </c>
      <c r="E1081">
        <f>(Prices!E179/Prices!E178)-1</f>
        <v>2.3280946058603869E-2</v>
      </c>
      <c r="F1081">
        <f>(Prices!F179/Prices!F178)-1</f>
        <v>2.1248657037125529E-2</v>
      </c>
      <c r="G1081">
        <f t="shared" si="64"/>
        <v>6.4326825120142542E-3</v>
      </c>
      <c r="H1081" s="8">
        <f t="shared" si="67"/>
        <v>600836.65238748537</v>
      </c>
      <c r="I1081" s="8">
        <f t="shared" si="65"/>
        <v>1067100.1647020529</v>
      </c>
      <c r="J1081" s="13">
        <f t="shared" si="66"/>
        <v>-0.43694446663753811</v>
      </c>
    </row>
    <row r="1082" spans="1:10" x14ac:dyDescent="0.25">
      <c r="A1082" s="5">
        <v>46030</v>
      </c>
      <c r="B1082">
        <f>(Prices!B178/Prices!B177)-1</f>
        <v>-1.0652381392198484E-2</v>
      </c>
      <c r="C1082">
        <f>(Prices!C178/Prices!C177)-1</f>
        <v>1.1197642601557645E-2</v>
      </c>
      <c r="D1082">
        <f>(Prices!D178/Prices!D177)-1</f>
        <v>-3.5936592248319355E-2</v>
      </c>
      <c r="E1082">
        <f>(Prices!E178/Prices!E177)-1</f>
        <v>-8.4802841048248201E-3</v>
      </c>
      <c r="F1082">
        <f>(Prices!F178/Prices!F177)-1</f>
        <v>-1.4847264281304229E-2</v>
      </c>
      <c r="G1082">
        <f t="shared" si="64"/>
        <v>-1.174377588501785E-2</v>
      </c>
      <c r="H1082" s="8">
        <f t="shared" si="67"/>
        <v>593780.56139834237</v>
      </c>
      <c r="I1082" s="8">
        <f t="shared" si="65"/>
        <v>1067100.1647020529</v>
      </c>
      <c r="J1082" s="13">
        <f t="shared" si="66"/>
        <v>-0.44355686463216604</v>
      </c>
    </row>
    <row r="1083" spans="1:10" x14ac:dyDescent="0.25">
      <c r="A1083" s="6">
        <v>46031</v>
      </c>
      <c r="B1083">
        <f>(Prices!B177/Prices!B176)-1</f>
        <v>-9.5142255969261624E-3</v>
      </c>
      <c r="C1083">
        <f>(Prices!C177/Prices!C176)-1</f>
        <v>-2.4356443959181462E-3</v>
      </c>
      <c r="D1083">
        <f>(Prices!D177/Prices!D176)-1</f>
        <v>-1.3670595939751173E-2</v>
      </c>
      <c r="E1083">
        <f>(Prices!E177/Prices!E176)-1</f>
        <v>1.8095384143534954E-3</v>
      </c>
      <c r="F1083">
        <f>(Prices!F177/Prices!F176)-1</f>
        <v>8.3602620734635202E-3</v>
      </c>
      <c r="G1083">
        <f t="shared" si="64"/>
        <v>-3.0901330889556936E-3</v>
      </c>
      <c r="H1083" s="8">
        <f t="shared" si="67"/>
        <v>591945.70043798664</v>
      </c>
      <c r="I1083" s="8">
        <f t="shared" si="65"/>
        <v>1067100.1647020529</v>
      </c>
      <c r="J1083" s="13">
        <f t="shared" si="66"/>
        <v>-0.44527634797688848</v>
      </c>
    </row>
    <row r="1084" spans="1:10" x14ac:dyDescent="0.25">
      <c r="A1084" s="5">
        <v>46034</v>
      </c>
      <c r="B1084">
        <f>(Prices!B176/Prices!B175)-1</f>
        <v>-9.9329750618925017E-3</v>
      </c>
      <c r="C1084">
        <f>(Prices!C176/Prices!C175)-1</f>
        <v>4.4077018790729117E-3</v>
      </c>
      <c r="D1084">
        <f>(Prices!D176/Prices!D175)-1</f>
        <v>4.6878855169010247E-3</v>
      </c>
      <c r="E1084">
        <f>(Prices!E176/Prices!E175)-1</f>
        <v>1.449951771990432E-2</v>
      </c>
      <c r="F1084">
        <f>(Prices!F176/Prices!F175)-1</f>
        <v>1.018238447485853E-2</v>
      </c>
      <c r="G1084">
        <f t="shared" si="64"/>
        <v>4.7689029057688577E-3</v>
      </c>
      <c r="H1084" s="8">
        <f t="shared" si="67"/>
        <v>594768.6320088628</v>
      </c>
      <c r="I1084" s="8">
        <f t="shared" si="65"/>
        <v>1067100.1647020529</v>
      </c>
      <c r="J1084" s="13">
        <f t="shared" si="66"/>
        <v>-0.44263092474085669</v>
      </c>
    </row>
    <row r="1085" spans="1:10" x14ac:dyDescent="0.25">
      <c r="A1085" s="6">
        <v>46035</v>
      </c>
      <c r="B1085">
        <f>(Prices!B175/Prices!B174)-1</f>
        <v>-1.2227126327090443E-2</v>
      </c>
      <c r="C1085">
        <f>(Prices!C175/Prices!C174)-1</f>
        <v>1.3833654051742528E-2</v>
      </c>
      <c r="D1085">
        <f>(Prices!D175/Prices!D174)-1</f>
        <v>-1.9830713422007151E-2</v>
      </c>
      <c r="E1085">
        <f>(Prices!E175/Prices!E174)-1</f>
        <v>4.3711233072451394E-2</v>
      </c>
      <c r="F1085">
        <f>(Prices!F175/Prices!F174)-1</f>
        <v>1.9697062236609275E-2</v>
      </c>
      <c r="G1085">
        <f t="shared" si="64"/>
        <v>9.0368219223411206E-3</v>
      </c>
      <c r="H1085" s="8">
        <f t="shared" si="67"/>
        <v>600143.45022132131</v>
      </c>
      <c r="I1085" s="8">
        <f t="shared" si="65"/>
        <v>1067100.1647020529</v>
      </c>
      <c r="J1085" s="13">
        <f t="shared" si="66"/>
        <v>-0.43759407966271985</v>
      </c>
    </row>
    <row r="1086" spans="1:10" x14ac:dyDescent="0.25">
      <c r="A1086" s="5">
        <v>46036</v>
      </c>
      <c r="B1086">
        <f>(Prices!B174/Prices!B173)-1</f>
        <v>3.8783973268885497E-4</v>
      </c>
      <c r="C1086">
        <f>(Prices!C174/Prices!C173)-1</f>
        <v>2.4579390115667676E-2</v>
      </c>
      <c r="D1086">
        <f>(Prices!D174/Prices!D173)-1</f>
        <v>-2.8125979316828587E-2</v>
      </c>
      <c r="E1086">
        <f>(Prices!E174/Prices!E173)-1</f>
        <v>9.8383235496670718E-3</v>
      </c>
      <c r="F1086">
        <f>(Prices!F174/Prices!F173)-1</f>
        <v>-3.0748622400829095E-3</v>
      </c>
      <c r="G1086">
        <f t="shared" si="64"/>
        <v>7.2094236822242079E-4</v>
      </c>
      <c r="H1086" s="8">
        <f t="shared" si="67"/>
        <v>600576.11906159704</v>
      </c>
      <c r="I1086" s="8">
        <f t="shared" si="65"/>
        <v>1067100.1647020529</v>
      </c>
      <c r="J1086" s="13">
        <f t="shared" si="66"/>
        <v>-0.43718861740660958</v>
      </c>
    </row>
    <row r="1087" spans="1:10" x14ac:dyDescent="0.25">
      <c r="A1087" s="6">
        <v>46037</v>
      </c>
      <c r="B1087">
        <f>(Prices!B173/Prices!B172)-1</f>
        <v>9.2132598681238242E-3</v>
      </c>
      <c r="C1087">
        <f>(Prices!C173/Prices!C172)-1</f>
        <v>5.9500198333994891E-3</v>
      </c>
      <c r="D1087">
        <f>(Prices!D173/Prices!D172)-1</f>
        <v>8.2944940358637975E-3</v>
      </c>
      <c r="E1087">
        <f>(Prices!E173/Prices!E172)-1</f>
        <v>-4.5052397897554775E-3</v>
      </c>
      <c r="F1087">
        <f>(Prices!F173/Prices!F172)-1</f>
        <v>-1.179337525196289E-2</v>
      </c>
      <c r="G1087">
        <f t="shared" si="64"/>
        <v>1.4318317391337487E-3</v>
      </c>
      <c r="H1087" s="8">
        <f t="shared" si="67"/>
        <v>601436.04301063519</v>
      </c>
      <c r="I1087" s="8">
        <f t="shared" si="65"/>
        <v>1067100.1647020529</v>
      </c>
      <c r="J1087" s="13">
        <f t="shared" si="66"/>
        <v>-0.43638276620586663</v>
      </c>
    </row>
    <row r="1088" spans="1:10" x14ac:dyDescent="0.25">
      <c r="A1088" s="5">
        <v>46038</v>
      </c>
      <c r="B1088">
        <f>(Prices!B172/Prices!B171)-1</f>
        <v>8.4102501821714526E-3</v>
      </c>
      <c r="C1088">
        <f>(Prices!C172/Prices!C171)-1</f>
        <v>-6.9590336134454089E-3</v>
      </c>
      <c r="D1088">
        <f>(Prices!D172/Prices!D171)-1</f>
        <v>-5.8897439924611161E-3</v>
      </c>
      <c r="E1088">
        <f>(Prices!E172/Prices!E171)-1</f>
        <v>-1.024298823833536E-2</v>
      </c>
      <c r="F1088">
        <f>(Prices!F172/Prices!F171)-1</f>
        <v>2.3998767714109581E-2</v>
      </c>
      <c r="G1088">
        <f t="shared" si="64"/>
        <v>1.8634504104078293E-3</v>
      </c>
      <c r="H1088" s="8">
        <f t="shared" si="67"/>
        <v>602556.78925181739</v>
      </c>
      <c r="I1088" s="8">
        <f t="shared" si="65"/>
        <v>1067100.1647020529</v>
      </c>
      <c r="J1088" s="13">
        <f t="shared" si="66"/>
        <v>-0.43533249344024005</v>
      </c>
    </row>
    <row r="1089" spans="1:10" x14ac:dyDescent="0.25">
      <c r="A1089" s="6">
        <v>46042</v>
      </c>
      <c r="B1089">
        <f>(Prices!B171/Prices!B170)-1</f>
        <v>2.4862308242835418E-2</v>
      </c>
      <c r="C1089">
        <f>(Prices!C171/Prices!C170)-1</f>
        <v>1.1756891398206681E-2</v>
      </c>
      <c r="D1089">
        <f>(Prices!D171/Prices!D170)-1</f>
        <v>-4.3005708030338097E-3</v>
      </c>
      <c r="E1089">
        <f>(Prices!E171/Prices!E170)-1</f>
        <v>3.2116058029014516E-2</v>
      </c>
      <c r="F1089">
        <f>(Prices!F171/Prices!F170)-1</f>
        <v>-2.1906168077861721E-2</v>
      </c>
      <c r="G1089">
        <f t="shared" si="64"/>
        <v>8.505703757832217E-3</v>
      </c>
      <c r="H1089" s="8">
        <f t="shared" si="67"/>
        <v>607681.95879846392</v>
      </c>
      <c r="I1089" s="8">
        <f t="shared" si="65"/>
        <v>1067100.1647020529</v>
      </c>
      <c r="J1089" s="13">
        <f t="shared" si="66"/>
        <v>-0.43052959890776893</v>
      </c>
    </row>
    <row r="1090" spans="1:10" x14ac:dyDescent="0.25">
      <c r="A1090" s="5">
        <v>46043</v>
      </c>
      <c r="B1090">
        <f>(Prices!B170/Prices!B169)-1</f>
        <v>-1.9436138402392111E-2</v>
      </c>
      <c r="C1090">
        <f>(Prices!C170/Prices!C169)-1</f>
        <v>2.3430241780154404E-2</v>
      </c>
      <c r="D1090">
        <f>(Prices!D170/Prices!D169)-1</f>
        <v>-2.3591387998167623E-2</v>
      </c>
      <c r="E1090">
        <f>(Prices!E170/Prices!E169)-1</f>
        <v>2.3399632291494221E-3</v>
      </c>
      <c r="F1090">
        <f>(Prices!F170/Prices!F169)-1</f>
        <v>-2.6802733057681549E-2</v>
      </c>
      <c r="G1090">
        <f t="shared" ref="G1090:G1153" si="68">B1090*20%+C1090*20%+D1090*20%+E1090*20%+F1090*20%</f>
        <v>-8.8120108897874923E-3</v>
      </c>
      <c r="H1090" s="8">
        <f t="shared" si="67"/>
        <v>602327.05876000447</v>
      </c>
      <c r="I1090" s="8">
        <f t="shared" ref="I1090:I1153" si="69">MAX(I1089,H1090)</f>
        <v>1067100.1647020529</v>
      </c>
      <c r="J1090" s="13">
        <f t="shared" ref="J1090:J1153" si="70">(H1090-I1090)/I1090</f>
        <v>-0.4355477782836053</v>
      </c>
    </row>
    <row r="1091" spans="1:10" x14ac:dyDescent="0.25">
      <c r="A1091" s="6">
        <v>46044</v>
      </c>
      <c r="B1091">
        <f>(Prices!B169/Prices!B168)-1</f>
        <v>-6.5474386177628574E-3</v>
      </c>
      <c r="C1091">
        <f>(Prices!C169/Prices!C168)-1</f>
        <v>-1.5592237341066295E-2</v>
      </c>
      <c r="D1091">
        <f>(Prices!D169/Prices!D168)-1</f>
        <v>-2.2899015342336959E-4</v>
      </c>
      <c r="E1091">
        <f>(Prices!E169/Prices!E168)-1</f>
        <v>-5.253882219931616E-3</v>
      </c>
      <c r="F1091">
        <f>(Prices!F169/Prices!F168)-1</f>
        <v>-1.8958573072497265E-2</v>
      </c>
      <c r="G1091">
        <f t="shared" si="68"/>
        <v>-9.3162242809362809E-3</v>
      </c>
      <c r="H1091" s="8">
        <f t="shared" si="67"/>
        <v>596715.64479011961</v>
      </c>
      <c r="I1091" s="8">
        <f t="shared" si="69"/>
        <v>1067100.1647020529</v>
      </c>
      <c r="J1091" s="13">
        <f t="shared" si="70"/>
        <v>-0.44080634177698802</v>
      </c>
    </row>
    <row r="1092" spans="1:10" x14ac:dyDescent="0.25">
      <c r="A1092" s="5">
        <v>46045</v>
      </c>
      <c r="B1092">
        <f>(Prices!B168/Prices!B167)-1</f>
        <v>7.9745791194352211E-3</v>
      </c>
      <c r="C1092">
        <f>(Prices!C168/Prices!C167)-1</f>
        <v>-3.1770372130191515E-2</v>
      </c>
      <c r="D1092">
        <f>(Prices!D168/Prices!D167)-1</f>
        <v>-9.9002418379685597E-3</v>
      </c>
      <c r="E1092">
        <f>(Prices!E168/Prices!E167)-1</f>
        <v>1.9838578404774987E-2</v>
      </c>
      <c r="F1092">
        <f>(Prices!F168/Prices!F167)-1</f>
        <v>-5.0093029912694487E-3</v>
      </c>
      <c r="G1092">
        <f t="shared" si="68"/>
        <v>-3.7733518870438636E-3</v>
      </c>
      <c r="H1092" s="8">
        <f t="shared" ref="H1092:H1155" si="71">H1091*(1+G1092)</f>
        <v>594464.02668582217</v>
      </c>
      <c r="I1092" s="8">
        <f t="shared" si="69"/>
        <v>1067100.1647020529</v>
      </c>
      <c r="J1092" s="13">
        <f t="shared" si="70"/>
        <v>-0.44291637622246682</v>
      </c>
    </row>
    <row r="1093" spans="1:10" x14ac:dyDescent="0.25">
      <c r="A1093" s="6">
        <v>46048</v>
      </c>
      <c r="B1093">
        <f>(Prices!B167/Prices!B166)-1</f>
        <v>-1.599470851748297E-2</v>
      </c>
      <c r="C1093">
        <f>(Prices!C167/Prices!C166)-1</f>
        <v>-9.2228023624069122E-3</v>
      </c>
      <c r="D1093">
        <f>(Prices!D167/Prices!D166)-1</f>
        <v>9.83432937438522E-4</v>
      </c>
      <c r="E1093">
        <f>(Prices!E167/Prices!E166)-1</f>
        <v>-1.1000804936946662E-2</v>
      </c>
      <c r="F1093">
        <f>(Prices!F167/Prices!F166)-1</f>
        <v>1.3137289020358489E-2</v>
      </c>
      <c r="G1093">
        <f t="shared" si="68"/>
        <v>-4.4195187718079083E-3</v>
      </c>
      <c r="H1093" s="8">
        <f t="shared" si="71"/>
        <v>591836.78176071972</v>
      </c>
      <c r="I1093" s="8">
        <f t="shared" si="69"/>
        <v>1067100.1647020529</v>
      </c>
      <c r="J1093" s="13">
        <f t="shared" si="70"/>
        <v>-0.44537841775521836</v>
      </c>
    </row>
    <row r="1094" spans="1:10" x14ac:dyDescent="0.25">
      <c r="A1094" s="5">
        <v>46049</v>
      </c>
      <c r="B1094">
        <f>(Prices!B166/Prices!B165)-1</f>
        <v>-3.8634321653188142E-3</v>
      </c>
      <c r="C1094">
        <f>(Prices!C166/Prices!C165)-1</f>
        <v>-2.1421840644958667E-2</v>
      </c>
      <c r="D1094">
        <f>(Prices!D166/Prices!D165)-1</f>
        <v>-1.4537050842403421E-2</v>
      </c>
      <c r="E1094">
        <f>(Prices!E166/Prices!E165)-1</f>
        <v>2.420656266810095E-3</v>
      </c>
      <c r="F1094">
        <f>(Prices!F166/Prices!F165)-1</f>
        <v>0.24384965009739545</v>
      </c>
      <c r="G1094">
        <f t="shared" si="68"/>
        <v>4.1289596542304935E-2</v>
      </c>
      <c r="H1094" s="8">
        <f t="shared" si="71"/>
        <v>616273.48369851604</v>
      </c>
      <c r="I1094" s="8">
        <f t="shared" si="69"/>
        <v>1067100.1647020529</v>
      </c>
      <c r="J1094" s="13">
        <f t="shared" si="70"/>
        <v>-0.42247831639067651</v>
      </c>
    </row>
    <row r="1095" spans="1:10" x14ac:dyDescent="0.25">
      <c r="A1095" s="6">
        <v>46050</v>
      </c>
      <c r="B1095">
        <f>(Prices!B165/Prices!B164)-1</f>
        <v>-4.3535305343512798E-3</v>
      </c>
      <c r="C1095">
        <f>(Prices!C165/Prices!C164)-1</f>
        <v>-2.1730500010446185E-3</v>
      </c>
      <c r="D1095">
        <f>(Prices!D165/Prices!D164)-1</f>
        <v>-5.4126195595760596E-3</v>
      </c>
      <c r="E1095">
        <f>(Prices!E165/Prices!E164)-1</f>
        <v>-1.5441423296407297E-3</v>
      </c>
      <c r="F1095">
        <f>(Prices!F165/Prices!F164)-1</f>
        <v>-3.8498890122086404E-2</v>
      </c>
      <c r="G1095">
        <f t="shared" si="68"/>
        <v>-1.0396446509339819E-2</v>
      </c>
      <c r="H1095" s="8">
        <f t="shared" si="71"/>
        <v>609866.42939011997</v>
      </c>
      <c r="I1095" s="8">
        <f t="shared" si="69"/>
        <v>1067100.1647020529</v>
      </c>
      <c r="J1095" s="13">
        <f t="shared" si="70"/>
        <v>-0.42848248968230462</v>
      </c>
    </row>
    <row r="1096" spans="1:10" x14ac:dyDescent="0.25">
      <c r="A1096" s="5">
        <v>46051</v>
      </c>
      <c r="B1096">
        <f>(Prices!B164/Prices!B163)-1</f>
        <v>-6.6056459018334346E-3</v>
      </c>
      <c r="C1096">
        <f>(Prices!C164/Prices!C163)-1</f>
        <v>0.11101051605265</v>
      </c>
      <c r="D1096">
        <f>(Prices!D164/Prices!D163)-1</f>
        <v>-2.0907441016333905E-2</v>
      </c>
      <c r="E1096">
        <f>(Prices!E164/Prices!E163)-1</f>
        <v>-1.8419058288576373E-2</v>
      </c>
      <c r="F1096">
        <f>(Prices!F164/Prices!F163)-1</f>
        <v>5.9311981020164772E-3</v>
      </c>
      <c r="G1096">
        <f t="shared" si="68"/>
        <v>1.4201913789584551E-2</v>
      </c>
      <c r="H1096" s="8">
        <f t="shared" si="71"/>
        <v>618527.69984348025</v>
      </c>
      <c r="I1096" s="8">
        <f t="shared" si="69"/>
        <v>1067100.1647020529</v>
      </c>
      <c r="J1096" s="13">
        <f t="shared" si="70"/>
        <v>-0.4203658472715347</v>
      </c>
    </row>
    <row r="1097" spans="1:10" x14ac:dyDescent="0.25">
      <c r="A1097" s="6">
        <v>46052</v>
      </c>
      <c r="B1097">
        <f>(Prices!B163/Prices!B162)-1</f>
        <v>7.4109207327910376E-4</v>
      </c>
      <c r="C1097">
        <f>(Prices!C163/Prices!C162)-1</f>
        <v>7.4605921698862598E-3</v>
      </c>
      <c r="D1097">
        <f>(Prices!D163/Prices!D162)-1</f>
        <v>-6.2761506276151069E-3</v>
      </c>
      <c r="E1097">
        <f>(Prices!E163/Prices!E162)-1</f>
        <v>1.7163415519687586E-3</v>
      </c>
      <c r="F1097">
        <f>(Prices!F163/Prices!F162)-1</f>
        <v>1.8658705618936011E-2</v>
      </c>
      <c r="G1097">
        <f t="shared" si="68"/>
        <v>4.4601161572910058E-3</v>
      </c>
      <c r="H1097" s="8">
        <f t="shared" si="71"/>
        <v>621286.40523128421</v>
      </c>
      <c r="I1097" s="8">
        <f t="shared" si="69"/>
        <v>1067100.1647020529</v>
      </c>
      <c r="J1097" s="13">
        <f t="shared" si="70"/>
        <v>-0.41778061162163277</v>
      </c>
    </row>
    <row r="1098" spans="1:10" x14ac:dyDescent="0.25">
      <c r="A1098" s="5">
        <v>46055</v>
      </c>
      <c r="B1098">
        <f>(Prices!B162/Prices!B161)-1</f>
        <v>-1.6558801236079557E-2</v>
      </c>
      <c r="C1098">
        <f>(Prices!C162/Prices!C161)-1</f>
        <v>1.6353696220584801E-2</v>
      </c>
      <c r="D1098">
        <f>(Prices!D162/Prices!D161)-1</f>
        <v>2.1668632075471761E-2</v>
      </c>
      <c r="E1098">
        <f>(Prices!E162/Prices!E161)-1</f>
        <v>-7.306684141546449E-3</v>
      </c>
      <c r="F1098">
        <f>(Prices!F162/Prices!F161)-1</f>
        <v>4.7134440278522316E-3</v>
      </c>
      <c r="G1098">
        <f t="shared" si="68"/>
        <v>3.7740573892565588E-3</v>
      </c>
      <c r="H1098" s="8">
        <f t="shared" si="71"/>
        <v>623631.17577979201</v>
      </c>
      <c r="I1098" s="8">
        <f t="shared" si="69"/>
        <v>1067100.1647020529</v>
      </c>
      <c r="J1098" s="13">
        <f t="shared" si="70"/>
        <v>-0.41558328223675495</v>
      </c>
    </row>
    <row r="1099" spans="1:10" x14ac:dyDescent="0.25">
      <c r="A1099" s="6">
        <v>46056</v>
      </c>
      <c r="B1099">
        <f>(Prices!B161/Prices!B160)-1</f>
        <v>1.1709187435481327E-2</v>
      </c>
      <c r="C1099">
        <f>(Prices!C161/Prices!C160)-1</f>
        <v>2.9562919093534257E-2</v>
      </c>
      <c r="D1099">
        <f>(Prices!D161/Prices!D160)-1</f>
        <v>-3.7047551454932548E-2</v>
      </c>
      <c r="E1099">
        <f>(Prices!E161/Prices!E160)-1</f>
        <v>-2.1292970754232865E-2</v>
      </c>
      <c r="F1099">
        <f>(Prices!F161/Prices!F160)-1</f>
        <v>4.9520938744751497E-3</v>
      </c>
      <c r="G1099">
        <f t="shared" si="68"/>
        <v>-2.4232643611349367E-3</v>
      </c>
      <c r="H1099" s="8">
        <f t="shared" si="71"/>
        <v>622119.95257703215</v>
      </c>
      <c r="I1099" s="8">
        <f t="shared" si="69"/>
        <v>1067100.1647020529</v>
      </c>
      <c r="J1099" s="13">
        <f t="shared" si="70"/>
        <v>-0.41699947844096208</v>
      </c>
    </row>
    <row r="1100" spans="1:10" x14ac:dyDescent="0.25">
      <c r="A1100" s="5">
        <v>46057</v>
      </c>
      <c r="B1100">
        <f>(Prices!B160/Prices!B159)-1</f>
        <v>2.0036703871957773E-2</v>
      </c>
      <c r="C1100">
        <f>(Prices!C160/Prices!C159)-1</f>
        <v>-7.1917974634335691E-3</v>
      </c>
      <c r="D1100">
        <f>(Prices!D160/Prices!D159)-1</f>
        <v>-2.6193931854309183E-2</v>
      </c>
      <c r="E1100">
        <f>(Prices!E160/Prices!E159)-1</f>
        <v>-7.6374745417516765E-3</v>
      </c>
      <c r="F1100">
        <f>(Prices!F160/Prices!F159)-1</f>
        <v>2.9936800088701698E-2</v>
      </c>
      <c r="G1100">
        <f t="shared" si="68"/>
        <v>1.7900600202330101E-3</v>
      </c>
      <c r="H1100" s="8">
        <f t="shared" si="71"/>
        <v>623233.58463192952</v>
      </c>
      <c r="I1100" s="8">
        <f t="shared" si="69"/>
        <v>1067100.1647020529</v>
      </c>
      <c r="J1100" s="13">
        <f t="shared" si="70"/>
        <v>-0.41595587251554428</v>
      </c>
    </row>
    <row r="1101" spans="1:10" x14ac:dyDescent="0.25">
      <c r="A1101" s="6">
        <v>46058</v>
      </c>
      <c r="B1101">
        <f>(Prices!B159/Prices!B158)-1</f>
        <v>5.383987175221483E-3</v>
      </c>
      <c r="C1101">
        <f>(Prices!C159/Prices!C158)-1</f>
        <v>5.2123009279378296E-2</v>
      </c>
      <c r="D1101">
        <f>(Prices!D159/Prices!D158)-1</f>
        <v>1.0334473849591408E-2</v>
      </c>
      <c r="E1101">
        <f>(Prices!E159/Prices!E158)-1</f>
        <v>2.2916666666666696E-2</v>
      </c>
      <c r="F1101">
        <f>(Prices!F159/Prices!F158)-1</f>
        <v>2.7455001139211843E-2</v>
      </c>
      <c r="G1101">
        <f t="shared" si="68"/>
        <v>2.3642627622013947E-2</v>
      </c>
      <c r="H1101" s="8">
        <f t="shared" si="71"/>
        <v>637968.46419491514</v>
      </c>
      <c r="I1101" s="8">
        <f t="shared" si="69"/>
        <v>1067100.1647020529</v>
      </c>
      <c r="J1101" s="13">
        <f t="shared" si="70"/>
        <v>-0.40214753469460524</v>
      </c>
    </row>
    <row r="1102" spans="1:10" x14ac:dyDescent="0.25">
      <c r="A1102" s="5">
        <v>46059</v>
      </c>
      <c r="B1102">
        <f>(Prices!B158/Prices!B157)-1</f>
        <v>2.6006268814201094E-2</v>
      </c>
      <c r="C1102">
        <f>(Prices!C158/Prices!C157)-1</f>
        <v>-1.8614686033968098E-2</v>
      </c>
      <c r="D1102">
        <f>(Prices!D158/Prices!D157)-1</f>
        <v>-1.991513824254032E-2</v>
      </c>
      <c r="E1102">
        <f>(Prices!E158/Prices!E157)-1</f>
        <v>-3.7955655768508123E-2</v>
      </c>
      <c r="F1102">
        <f>(Prices!F158/Prices!F157)-1</f>
        <v>-2.9304434369125443E-2</v>
      </c>
      <c r="G1102">
        <f t="shared" si="68"/>
        <v>-1.5956729119988178E-2</v>
      </c>
      <c r="H1102" s="8">
        <f t="shared" si="71"/>
        <v>627788.57422466204</v>
      </c>
      <c r="I1102" s="8">
        <f t="shared" si="69"/>
        <v>1067100.1647020529</v>
      </c>
      <c r="J1102" s="13">
        <f t="shared" si="70"/>
        <v>-0.41168730453720054</v>
      </c>
    </row>
    <row r="1103" spans="1:10" x14ac:dyDescent="0.25">
      <c r="A1103" s="6">
        <v>46062</v>
      </c>
      <c r="B1103">
        <f>(Prices!B157/Prices!B156)-1</f>
        <v>-4.5104884302882287E-3</v>
      </c>
      <c r="C1103">
        <f>(Prices!C157/Prices!C156)-1</f>
        <v>-3.012238740601958E-2</v>
      </c>
      <c r="D1103">
        <f>(Prices!D157/Prices!D156)-1</f>
        <v>-1.4301133297355717E-2</v>
      </c>
      <c r="E1103">
        <f>(Prices!E157/Prices!E156)-1</f>
        <v>9.4037991348505656E-4</v>
      </c>
      <c r="F1103">
        <f>(Prices!F157/Prices!F156)-1</f>
        <v>3.4769742925837566E-3</v>
      </c>
      <c r="G1103">
        <f t="shared" si="68"/>
        <v>-8.9033309855189435E-3</v>
      </c>
      <c r="H1103" s="8">
        <f t="shared" si="71"/>
        <v>622199.16475941287</v>
      </c>
      <c r="I1103" s="8">
        <f t="shared" si="69"/>
        <v>1067100.1647020529</v>
      </c>
      <c r="J1103" s="13">
        <f t="shared" si="70"/>
        <v>-0.41692524718788859</v>
      </c>
    </row>
    <row r="1104" spans="1:10" x14ac:dyDescent="0.25">
      <c r="A1104" s="5">
        <v>46063</v>
      </c>
      <c r="B1104">
        <f>(Prices!B156/Prices!B155)-1</f>
        <v>1.8021134733928745E-2</v>
      </c>
      <c r="C1104">
        <f>(Prices!C156/Prices!C155)-1</f>
        <v>8.0358447377393283E-4</v>
      </c>
      <c r="D1104">
        <f>(Prices!D156/Prices!D155)-1</f>
        <v>-2.4897382410336011E-3</v>
      </c>
      <c r="E1104">
        <f>(Prices!E156/Prices!E155)-1</f>
        <v>1.199086410354E-2</v>
      </c>
      <c r="F1104">
        <f>(Prices!F156/Prices!F155)-1</f>
        <v>9.0698716034638416E-3</v>
      </c>
      <c r="G1104">
        <f t="shared" si="68"/>
        <v>7.4791433347345844E-3</v>
      </c>
      <c r="H1104" s="8">
        <f t="shared" si="71"/>
        <v>626852.68149540061</v>
      </c>
      <c r="I1104" s="8">
        <f t="shared" si="69"/>
        <v>1067100.1647020529</v>
      </c>
      <c r="J1104" s="13">
        <f t="shared" si="70"/>
        <v>-0.41256434753674193</v>
      </c>
    </row>
    <row r="1105" spans="1:10" x14ac:dyDescent="0.25">
      <c r="A1105" s="6">
        <v>46064</v>
      </c>
      <c r="B1105">
        <f>(Prices!B155/Prices!B154)-1</f>
        <v>2.4487691712849591E-2</v>
      </c>
      <c r="C1105">
        <f>(Prices!C155/Prices!C154)-1</f>
        <v>2.1999900452939203E-2</v>
      </c>
      <c r="D1105">
        <f>(Prices!D155/Prices!D154)-1</f>
        <v>-2.5508196721311438E-2</v>
      </c>
      <c r="E1105">
        <f>(Prices!E155/Prices!E154)-1</f>
        <v>2.4005197336365081E-2</v>
      </c>
      <c r="F1105">
        <f>(Prices!F155/Prices!F154)-1</f>
        <v>-2.0402193784277767E-2</v>
      </c>
      <c r="G1105">
        <f t="shared" si="68"/>
        <v>4.9164797993129341E-3</v>
      </c>
      <c r="H1105" s="8">
        <f t="shared" si="71"/>
        <v>629934.59004111786</v>
      </c>
      <c r="I1105" s="8">
        <f t="shared" si="69"/>
        <v>1067100.1647020529</v>
      </c>
      <c r="J1105" s="13">
        <f t="shared" si="70"/>
        <v>-0.40967623201801018</v>
      </c>
    </row>
    <row r="1106" spans="1:10" x14ac:dyDescent="0.25">
      <c r="A1106" s="5">
        <v>46065</v>
      </c>
      <c r="B1106">
        <f>(Prices!B154/Prices!B153)-1</f>
        <v>6.3553826199742591E-3</v>
      </c>
      <c r="C1106">
        <f>(Prices!C154/Prices!C153)-1</f>
        <v>6.2858430793117925E-3</v>
      </c>
      <c r="D1106">
        <f>(Prices!D154/Prices!D153)-1</f>
        <v>3.0683968640172976E-2</v>
      </c>
      <c r="E1106">
        <f>(Prices!E154/Prices!E153)-1</f>
        <v>2.7022518765638104E-2</v>
      </c>
      <c r="F1106">
        <f>(Prices!F154/Prices!F153)-1</f>
        <v>-1.9221114537760986E-2</v>
      </c>
      <c r="G1106">
        <f t="shared" si="68"/>
        <v>1.022531971346723E-2</v>
      </c>
      <c r="H1106" s="8">
        <f t="shared" si="71"/>
        <v>636375.87262286013</v>
      </c>
      <c r="I1106" s="8">
        <f t="shared" si="69"/>
        <v>1067100.1647020529</v>
      </c>
      <c r="J1106" s="13">
        <f t="shared" si="70"/>
        <v>-0.40363998275593571</v>
      </c>
    </row>
    <row r="1107" spans="1:10" x14ac:dyDescent="0.25">
      <c r="A1107" s="6">
        <v>46066</v>
      </c>
      <c r="B1107">
        <f>(Prices!B153/Prices!B152)-1</f>
        <v>1.0716743683020225E-2</v>
      </c>
      <c r="C1107">
        <f>(Prices!C153/Prices!C152)-1</f>
        <v>1.3039444319065119E-3</v>
      </c>
      <c r="D1107">
        <f>(Prices!D153/Prices!D152)-1</f>
        <v>9.9658703071672239E-3</v>
      </c>
      <c r="E1107">
        <f>(Prices!E153/Prices!E152)-1</f>
        <v>3.0034038577042566E-4</v>
      </c>
      <c r="F1107">
        <f>(Prices!F153/Prices!F152)-1</f>
        <v>-3.0085910055302367E-2</v>
      </c>
      <c r="G1107">
        <f t="shared" si="68"/>
        <v>-1.5598022494875971E-3</v>
      </c>
      <c r="H1107" s="8">
        <f t="shared" si="71"/>
        <v>635383.25210522336</v>
      </c>
      <c r="I1107" s="8">
        <f t="shared" si="69"/>
        <v>1067100.1647020529</v>
      </c>
      <c r="J1107" s="13">
        <f t="shared" si="70"/>
        <v>-0.40457018645233744</v>
      </c>
    </row>
    <row r="1108" spans="1:10" x14ac:dyDescent="0.25">
      <c r="A1108" s="5">
        <v>46070</v>
      </c>
      <c r="B1108">
        <f>(Prices!B152/Prices!B151)-1</f>
        <v>1.227482334206953E-2</v>
      </c>
      <c r="C1108">
        <f>(Prices!C152/Prices!C151)-1</f>
        <v>1.1233390810426958E-2</v>
      </c>
      <c r="D1108">
        <f>(Prices!D152/Prices!D151)-1</f>
        <v>1.5457128994246894E-2</v>
      </c>
      <c r="E1108">
        <f>(Prices!E152/Prices!E151)-1</f>
        <v>-1.4924391847468632E-2</v>
      </c>
      <c r="F1108">
        <f>(Prices!F152/Prices!F151)-1</f>
        <v>1.4180394370171712E-2</v>
      </c>
      <c r="G1108">
        <f t="shared" si="68"/>
        <v>7.6442691338892924E-3</v>
      </c>
      <c r="H1108" s="8">
        <f t="shared" si="71"/>
        <v>640240.29268748162</v>
      </c>
      <c r="I1108" s="8">
        <f t="shared" si="69"/>
        <v>1067100.1647020529</v>
      </c>
      <c r="J1108" s="13">
        <f t="shared" si="70"/>
        <v>-0.40001856070723751</v>
      </c>
    </row>
    <row r="1109" spans="1:10" x14ac:dyDescent="0.25">
      <c r="A1109" s="6">
        <v>46071</v>
      </c>
      <c r="B1109">
        <f>(Prices!B151/Prices!B150)-1</f>
        <v>-4.3271454052983271E-3</v>
      </c>
      <c r="C1109">
        <f>(Prices!C151/Prices!C150)-1</f>
        <v>-6.8500050367683585E-3</v>
      </c>
      <c r="D1109">
        <f>(Prices!D151/Prices!D150)-1</f>
        <v>-2.9791526563550663E-2</v>
      </c>
      <c r="E1109">
        <f>(Prices!E151/Prices!E150)-1</f>
        <v>-5.3297583624889455E-3</v>
      </c>
      <c r="F1109">
        <f>(Prices!F151/Prices!F150)-1</f>
        <v>3.1138317823147244E-3</v>
      </c>
      <c r="G1109">
        <f t="shared" si="68"/>
        <v>-8.6369207171583147E-3</v>
      </c>
      <c r="H1109" s="8">
        <f t="shared" si="71"/>
        <v>634710.5880396096</v>
      </c>
      <c r="I1109" s="8">
        <f t="shared" si="69"/>
        <v>1067100.1647020529</v>
      </c>
      <c r="J1109" s="13">
        <f t="shared" si="70"/>
        <v>-0.40520055283017564</v>
      </c>
    </row>
    <row r="1110" spans="1:10" x14ac:dyDescent="0.25">
      <c r="A1110" s="5">
        <v>46072</v>
      </c>
      <c r="B1110">
        <f>(Prices!B150/Prices!B149)-1</f>
        <v>1.5880367895189096E-3</v>
      </c>
      <c r="C1110">
        <f>(Prices!C150/Prices!C149)-1</f>
        <v>5.7956406702763807E-4</v>
      </c>
      <c r="D1110">
        <f>(Prices!D150/Prices!D149)-1</f>
        <v>-1.9464393583463746E-3</v>
      </c>
      <c r="E1110">
        <f>(Prices!E150/Prices!E149)-1</f>
        <v>2.3598046606141398E-3</v>
      </c>
      <c r="F1110">
        <f>(Prices!F150/Prices!F149)-1</f>
        <v>-5.9793886954380149E-3</v>
      </c>
      <c r="G1110">
        <f t="shared" si="68"/>
        <v>-6.7968450732474044E-4</v>
      </c>
      <c r="H1110" s="8">
        <f t="shared" si="71"/>
        <v>634279.18508628418</v>
      </c>
      <c r="I1110" s="8">
        <f t="shared" si="69"/>
        <v>1067100.1647020529</v>
      </c>
      <c r="J1110" s="13">
        <f t="shared" si="70"/>
        <v>-0.40560482879938226</v>
      </c>
    </row>
    <row r="1111" spans="1:10" x14ac:dyDescent="0.25">
      <c r="A1111" s="6">
        <v>46073</v>
      </c>
      <c r="B1111">
        <f>(Prices!B149/Prices!B148)-1</f>
        <v>-3.8521487419283074E-2</v>
      </c>
      <c r="C1111">
        <f>(Prices!C149/Prices!C148)-1</f>
        <v>3.0836893056644943E-3</v>
      </c>
      <c r="D1111">
        <f>(Prices!D149/Prices!D148)-1</f>
        <v>2.5042999656002873E-2</v>
      </c>
      <c r="E1111">
        <f>(Prices!E149/Prices!E148)-1</f>
        <v>-8.8038464037424324E-3</v>
      </c>
      <c r="F1111">
        <f>(Prices!F149/Prices!F148)-1</f>
        <v>-2.4614951825019382E-4</v>
      </c>
      <c r="G1111">
        <f t="shared" si="68"/>
        <v>-3.8889588759216673E-3</v>
      </c>
      <c r="H1111" s="8">
        <f t="shared" si="71"/>
        <v>631812.49941963051</v>
      </c>
      <c r="I1111" s="8">
        <f t="shared" si="69"/>
        <v>1067100.1647020529</v>
      </c>
      <c r="J1111" s="13">
        <f t="shared" si="70"/>
        <v>-0.40791640717622785</v>
      </c>
    </row>
    <row r="1112" spans="1:10" x14ac:dyDescent="0.25">
      <c r="A1112" s="5">
        <v>46076</v>
      </c>
      <c r="B1112">
        <f>(Prices!B148/Prices!B147)-1</f>
        <v>1.1193669786741411E-2</v>
      </c>
      <c r="C1112">
        <f>(Prices!C148/Prices!C147)-1</f>
        <v>3.3192311710017686E-2</v>
      </c>
      <c r="D1112">
        <f>(Prices!D148/Prices!D147)-1</f>
        <v>-2.3054173948111378E-2</v>
      </c>
      <c r="E1112">
        <f>(Prices!E148/Prices!E147)-1</f>
        <v>4.4059288403486718E-2</v>
      </c>
      <c r="F1112">
        <f>(Prices!F148/Prices!F147)-1</f>
        <v>2.7124643334416776E-2</v>
      </c>
      <c r="G1112">
        <f t="shared" si="68"/>
        <v>1.8503147857310245E-2</v>
      </c>
      <c r="H1112" s="8">
        <f t="shared" si="71"/>
        <v>643503.01951448875</v>
      </c>
      <c r="I1112" s="8">
        <f t="shared" si="69"/>
        <v>1067100.1647020529</v>
      </c>
      <c r="J1112" s="13">
        <f t="shared" si="70"/>
        <v>-0.39696099691432207</v>
      </c>
    </row>
    <row r="1113" spans="1:10" x14ac:dyDescent="0.25">
      <c r="A1113" s="6">
        <v>46077</v>
      </c>
      <c r="B1113">
        <f>(Prices!B147/Prices!B146)-1</f>
        <v>1.9013857557201863E-3</v>
      </c>
      <c r="C1113">
        <f>(Prices!C147/Prices!C146)-1</f>
        <v>-1.1640812533877054E-2</v>
      </c>
      <c r="D1113">
        <f>(Prices!D147/Prices!D146)-1</f>
        <v>1.0047522063815206E-2</v>
      </c>
      <c r="E1113">
        <f>(Prices!E147/Prices!E146)-1</f>
        <v>1.2565373904775967E-3</v>
      </c>
      <c r="F1113">
        <f>(Prices!F147/Prices!F146)-1</f>
        <v>3.0635795116140674E-2</v>
      </c>
      <c r="G1113">
        <f t="shared" si="68"/>
        <v>6.4400855584553218E-3</v>
      </c>
      <c r="H1113" s="8">
        <f t="shared" si="71"/>
        <v>647647.23401728645</v>
      </c>
      <c r="I1113" s="8">
        <f t="shared" si="69"/>
        <v>1067100.1647020529</v>
      </c>
      <c r="J1113" s="13">
        <f t="shared" si="70"/>
        <v>-0.39307737413936467</v>
      </c>
    </row>
    <row r="1114" spans="1:10" x14ac:dyDescent="0.25">
      <c r="A1114" s="5">
        <v>46078</v>
      </c>
      <c r="B1114">
        <f>(Prices!B146/Prices!B145)-1</f>
        <v>-6.3722821736207358E-3</v>
      </c>
      <c r="C1114">
        <f>(Prices!C146/Prices!C145)-1</f>
        <v>-2.8948819489698741E-2</v>
      </c>
      <c r="D1114">
        <f>(Prices!D146/Prices!D145)-1</f>
        <v>1.3596193065943396E-3</v>
      </c>
      <c r="E1114">
        <f>(Prices!E146/Prices!E145)-1</f>
        <v>-1.9773635153129132E-2</v>
      </c>
      <c r="F1114">
        <f>(Prices!F146/Prices!F145)-1</f>
        <v>-3.6061573791668189E-2</v>
      </c>
      <c r="G1114">
        <f t="shared" si="68"/>
        <v>-1.7959338260304492E-2</v>
      </c>
      <c r="H1114" s="8">
        <f t="shared" si="71"/>
        <v>636015.91826821945</v>
      </c>
      <c r="I1114" s="8">
        <f t="shared" si="69"/>
        <v>1067100.1647020529</v>
      </c>
      <c r="J1114" s="13">
        <f t="shared" si="70"/>
        <v>-0.40397730287502798</v>
      </c>
    </row>
    <row r="1115" spans="1:10" x14ac:dyDescent="0.25">
      <c r="A1115" s="6">
        <v>46079</v>
      </c>
      <c r="B1115">
        <f>(Prices!B145/Prices!B144)-1</f>
        <v>1.7960753634526538E-2</v>
      </c>
      <c r="C1115">
        <f>(Prices!C145/Prices!C144)-1</f>
        <v>-2.7993001749562207E-3</v>
      </c>
      <c r="D1115">
        <f>(Prices!D145/Prices!D144)-1</f>
        <v>3.4790913432021231E-3</v>
      </c>
      <c r="E1115">
        <f>(Prices!E145/Prices!E144)-1</f>
        <v>-9.2675043699086412E-3</v>
      </c>
      <c r="F1115">
        <f>(Prices!F145/Prices!F144)-1</f>
        <v>-8.5734614016365063E-3</v>
      </c>
      <c r="G1115">
        <f t="shared" si="68"/>
        <v>1.5991580624545826E-4</v>
      </c>
      <c r="H1115" s="8">
        <f t="shared" si="71"/>
        <v>636117.6272665743</v>
      </c>
      <c r="I1115" s="8">
        <f t="shared" si="69"/>
        <v>1067100.1647020529</v>
      </c>
      <c r="J1115" s="13">
        <f t="shared" si="70"/>
        <v>-0.40388198942487663</v>
      </c>
    </row>
    <row r="1116" spans="1:10" x14ac:dyDescent="0.25">
      <c r="A1116" s="5">
        <v>46080</v>
      </c>
      <c r="B1116">
        <f>(Prices!B144/Prices!B143)-1</f>
        <v>-1.4044672987305162E-2</v>
      </c>
      <c r="C1116">
        <f>(Prices!C144/Prices!C143)-1</f>
        <v>2.2881247603221411E-2</v>
      </c>
      <c r="D1116">
        <f>(Prices!D144/Prices!D143)-1</f>
        <v>-2.5980066445182692E-2</v>
      </c>
      <c r="E1116">
        <f>(Prices!E144/Prices!E143)-1</f>
        <v>1.9433143933026198E-2</v>
      </c>
      <c r="F1116">
        <f>(Prices!F144/Prices!F143)-1</f>
        <v>-2.2532860421447864E-2</v>
      </c>
      <c r="G1116">
        <f t="shared" si="68"/>
        <v>-4.0486416635376228E-3</v>
      </c>
      <c r="H1116" s="8">
        <f t="shared" si="71"/>
        <v>633542.21493791218</v>
      </c>
      <c r="I1116" s="8">
        <f t="shared" si="69"/>
        <v>1067100.1647020529</v>
      </c>
      <c r="J1116" s="13">
        <f t="shared" si="70"/>
        <v>-0.4062954576388762</v>
      </c>
    </row>
    <row r="1117" spans="1:10" x14ac:dyDescent="0.25">
      <c r="A1117" s="6">
        <v>46083</v>
      </c>
      <c r="B1117">
        <f>(Prices!B143/Prices!B142)-1</f>
        <v>1.709597280334707E-2</v>
      </c>
      <c r="C1117">
        <f>(Prices!C143/Prices!C142)-1</f>
        <v>-1.4586587393560779E-2</v>
      </c>
      <c r="D1117">
        <f>(Prices!D143/Prices!D142)-1</f>
        <v>-1.1104540377160133E-2</v>
      </c>
      <c r="E1117">
        <f>(Prices!E143/Prices!E142)-1</f>
        <v>9.1951682953310687E-3</v>
      </c>
      <c r="F1117">
        <f>(Prices!F143/Prices!F142)-1</f>
        <v>-5.636043013726999E-3</v>
      </c>
      <c r="G1117">
        <f t="shared" si="68"/>
        <v>-1.0072059371539544E-3</v>
      </c>
      <c r="H1117" s="8">
        <f t="shared" si="71"/>
        <v>632904.10745758901</v>
      </c>
      <c r="I1117" s="8">
        <f t="shared" si="69"/>
        <v>1067100.1647020529</v>
      </c>
      <c r="J1117" s="13">
        <f t="shared" si="70"/>
        <v>-0.40689344037885761</v>
      </c>
    </row>
    <row r="1118" spans="1:10" x14ac:dyDescent="0.25">
      <c r="A1118" s="5">
        <v>46084</v>
      </c>
      <c r="B1118">
        <f>(Prices!B142/Prices!B141)-1</f>
        <v>9.6702861480577607E-3</v>
      </c>
      <c r="C1118">
        <f>(Prices!C142/Prices!C141)-1</f>
        <v>-1.3323390504598631E-2</v>
      </c>
      <c r="D1118">
        <f>(Prices!D142/Prices!D141)-1</f>
        <v>1.5683395621996832E-2</v>
      </c>
      <c r="E1118">
        <f>(Prices!E142/Prices!E141)-1</f>
        <v>-8.978109553111957E-3</v>
      </c>
      <c r="F1118">
        <f>(Prices!F142/Prices!F141)-1</f>
        <v>1.9781382228490685E-2</v>
      </c>
      <c r="G1118">
        <f t="shared" si="68"/>
        <v>4.5667127881669385E-3</v>
      </c>
      <c r="H1118" s="8">
        <f t="shared" si="71"/>
        <v>635794.39873879903</v>
      </c>
      <c r="I1118" s="8">
        <f t="shared" si="69"/>
        <v>1067100.1647020529</v>
      </c>
      <c r="J1118" s="13">
        <f t="shared" si="70"/>
        <v>-0.40418489306828997</v>
      </c>
    </row>
    <row r="1119" spans="1:10" x14ac:dyDescent="0.25">
      <c r="A1119" s="6">
        <v>46085</v>
      </c>
      <c r="B1119">
        <f>(Prices!B141/Prices!B140)-1</f>
        <v>1.4874066239174422E-3</v>
      </c>
      <c r="C1119">
        <f>(Prices!C141/Prices!C140)-1</f>
        <v>-3.122212310437078E-3</v>
      </c>
      <c r="D1119">
        <f>(Prices!D141/Prices!D140)-1</f>
        <v>1.3459587419682117E-2</v>
      </c>
      <c r="E1119">
        <f>(Prices!E141/Prices!E140)-1</f>
        <v>2.9002124574242227E-3</v>
      </c>
      <c r="F1119">
        <f>(Prices!F141/Prices!F140)-1</f>
        <v>-9.4306671323786118E-3</v>
      </c>
      <c r="G1119">
        <f t="shared" si="68"/>
        <v>1.0588654116416186E-3</v>
      </c>
      <c r="H1119" s="8">
        <f t="shared" si="71"/>
        <v>636467.61943653913</v>
      </c>
      <c r="I1119" s="8">
        <f t="shared" si="69"/>
        <v>1067100.1647020529</v>
      </c>
      <c r="J1119" s="13">
        <f t="shared" si="70"/>
        <v>-0.40355400505982636</v>
      </c>
    </row>
    <row r="1120" spans="1:10" x14ac:dyDescent="0.25">
      <c r="A1120" s="5">
        <v>46086</v>
      </c>
      <c r="B1120">
        <f>(Prices!B140/Prices!B139)-1</f>
        <v>7.4592074592074731E-3</v>
      </c>
      <c r="C1120">
        <f>(Prices!C140/Prices!C139)-1</f>
        <v>-1.334898048995159E-2</v>
      </c>
      <c r="D1120">
        <f>(Prices!D140/Prices!D139)-1</f>
        <v>-6.2508401666890867E-3</v>
      </c>
      <c r="E1120">
        <f>(Prices!E140/Prices!E139)-1</f>
        <v>1.9879621668099645E-2</v>
      </c>
      <c r="F1120">
        <f>(Prices!F140/Prices!F139)-1</f>
        <v>1.1053430801285513E-2</v>
      </c>
      <c r="G1120">
        <f t="shared" si="68"/>
        <v>3.7584878543903909E-3</v>
      </c>
      <c r="H1120" s="8">
        <f t="shared" si="71"/>
        <v>638859.77525390417</v>
      </c>
      <c r="I1120" s="8">
        <f t="shared" si="69"/>
        <v>1067100.1647020529</v>
      </c>
      <c r="J1120" s="13">
        <f t="shared" si="70"/>
        <v>-0.40131227003204389</v>
      </c>
    </row>
    <row r="1121" spans="1:10" x14ac:dyDescent="0.25">
      <c r="A1121" s="6">
        <v>46087</v>
      </c>
      <c r="B1121">
        <f>(Prices!B139/Prices!B138)-1</f>
        <v>7.9210579311270735E-3</v>
      </c>
      <c r="C1121">
        <f>(Prices!C139/Prices!C138)-1</f>
        <v>4.1982764970169839E-3</v>
      </c>
      <c r="D1121">
        <f>(Prices!D139/Prices!D138)-1</f>
        <v>-2.9486663986060258E-3</v>
      </c>
      <c r="E1121">
        <f>(Prices!E139/Prices!E138)-1</f>
        <v>1.4090893237068913E-2</v>
      </c>
      <c r="F1121">
        <f>(Prices!F139/Prices!F138)-1</f>
        <v>7.9735165343679526E-3</v>
      </c>
      <c r="G1121">
        <f t="shared" si="68"/>
        <v>6.2470155601949805E-3</v>
      </c>
      <c r="H1121" s="8">
        <f t="shared" si="71"/>
        <v>642850.74221069796</v>
      </c>
      <c r="I1121" s="8">
        <f t="shared" si="69"/>
        <v>1067100.1647020529</v>
      </c>
      <c r="J1121" s="13">
        <f t="shared" si="70"/>
        <v>-0.39757225846723626</v>
      </c>
    </row>
    <row r="1122" spans="1:10" x14ac:dyDescent="0.25">
      <c r="A1122" s="5">
        <v>46090</v>
      </c>
      <c r="B1122">
        <f>(Prices!B138/Prices!B137)-1</f>
        <v>-2.6276227204392488E-2</v>
      </c>
      <c r="C1122">
        <f>(Prices!C138/Prices!C137)-1</f>
        <v>-1.1035903472630393E-3</v>
      </c>
      <c r="D1122">
        <f>(Prices!D138/Prices!D137)-1</f>
        <v>5.1192240334096972E-3</v>
      </c>
      <c r="E1122">
        <f>(Prices!E138/Prices!E137)-1</f>
        <v>-1.5323001915374945E-3</v>
      </c>
      <c r="F1122">
        <f>(Prices!F138/Prices!F137)-1</f>
        <v>-3.1580441416506622E-3</v>
      </c>
      <c r="G1122">
        <f t="shared" si="68"/>
        <v>-5.3901875702867981E-3</v>
      </c>
      <c r="H1122" s="8">
        <f t="shared" si="71"/>
        <v>639385.65613048419</v>
      </c>
      <c r="I1122" s="8">
        <f t="shared" si="69"/>
        <v>1067100.1647020529</v>
      </c>
      <c r="J1122" s="13">
        <f t="shared" si="70"/>
        <v>-0.40081945699164212</v>
      </c>
    </row>
    <row r="1123" spans="1:10" x14ac:dyDescent="0.25">
      <c r="A1123" s="6">
        <v>46091</v>
      </c>
      <c r="B1123">
        <f>(Prices!B137/Prices!B136)-1</f>
        <v>-2.2174395095545529E-3</v>
      </c>
      <c r="C1123">
        <f>(Prices!C137/Prices!C136)-1</f>
        <v>9.0072255765614173E-3</v>
      </c>
      <c r="D1123">
        <f>(Prices!D137/Prices!D136)-1</f>
        <v>1.5597208920508976E-2</v>
      </c>
      <c r="E1123">
        <f>(Prices!E137/Prices!E136)-1</f>
        <v>4.1263069552748277E-3</v>
      </c>
      <c r="F1123">
        <f>(Prices!F137/Prices!F136)-1</f>
        <v>1.0035122930255991E-2</v>
      </c>
      <c r="G1123">
        <f t="shared" si="68"/>
        <v>7.3096849746093328E-3</v>
      </c>
      <c r="H1123" s="8">
        <f t="shared" si="71"/>
        <v>644059.36385408184</v>
      </c>
      <c r="I1123" s="8">
        <f t="shared" si="69"/>
        <v>1067100.1647020529</v>
      </c>
      <c r="J1123" s="13">
        <f t="shared" si="70"/>
        <v>-0.39643963597933579</v>
      </c>
    </row>
    <row r="1124" spans="1:10" x14ac:dyDescent="0.25">
      <c r="A1124" s="5">
        <v>46092</v>
      </c>
      <c r="B1124">
        <f>(Prices!B136/Prices!B135)-1</f>
        <v>-5.3840166061234207E-3</v>
      </c>
      <c r="C1124">
        <f>(Prices!C136/Prices!C135)-1</f>
        <v>2.1574705517668491E-3</v>
      </c>
      <c r="D1124">
        <f>(Prices!D136/Prices!D135)-1</f>
        <v>-2.2795641419880996E-2</v>
      </c>
      <c r="E1124">
        <f>(Prices!E136/Prices!E135)-1</f>
        <v>4.2139270288303887E-3</v>
      </c>
      <c r="F1124">
        <f>(Prices!F136/Prices!F135)-1</f>
        <v>-1.0181276384405247E-2</v>
      </c>
      <c r="G1124">
        <f t="shared" si="68"/>
        <v>-6.3979073659624856E-3</v>
      </c>
      <c r="H1124" s="8">
        <f t="shared" si="71"/>
        <v>639938.73170596268</v>
      </c>
      <c r="I1124" s="8">
        <f t="shared" si="69"/>
        <v>1067100.1647020529</v>
      </c>
      <c r="J1124" s="13">
        <f t="shared" si="70"/>
        <v>-0.40030115927810661</v>
      </c>
    </row>
    <row r="1125" spans="1:10" x14ac:dyDescent="0.25">
      <c r="A1125" s="6">
        <v>46093</v>
      </c>
      <c r="B1125">
        <f>(Prices!B135/Prices!B134)-1</f>
        <v>1.6987168915129969E-2</v>
      </c>
      <c r="C1125">
        <f>(Prices!C135/Prices!C134)-1</f>
        <v>7.5204877073755672E-3</v>
      </c>
      <c r="D1125">
        <f>(Prices!D135/Prices!D134)-1</f>
        <v>-1.2672430862649242E-2</v>
      </c>
      <c r="E1125">
        <f>(Prices!E135/Prices!E134)-1</f>
        <v>1.6346050894036068E-2</v>
      </c>
      <c r="F1125">
        <f>(Prices!F135/Prices!F134)-1</f>
        <v>2.9584718214689998E-2</v>
      </c>
      <c r="G1125">
        <f t="shared" si="68"/>
        <v>1.1553198973716473E-2</v>
      </c>
      <c r="H1125" s="8">
        <f t="shared" si="71"/>
        <v>647332.07120434952</v>
      </c>
      <c r="I1125" s="8">
        <f t="shared" si="69"/>
        <v>1067100.1647020529</v>
      </c>
      <c r="J1125" s="13">
        <f t="shared" si="70"/>
        <v>-0.3933727192469394</v>
      </c>
    </row>
    <row r="1126" spans="1:10" x14ac:dyDescent="0.25">
      <c r="A1126" s="5">
        <v>46094</v>
      </c>
      <c r="B1126">
        <f>(Prices!B134/Prices!B133)-1</f>
        <v>4.1734291676327473E-3</v>
      </c>
      <c r="C1126">
        <f>(Prices!C134/Prices!C133)-1</f>
        <v>1.596649320979826E-2</v>
      </c>
      <c r="D1126">
        <f>(Prices!D134/Prices!D133)-1</f>
        <v>-1.6615823976114719E-2</v>
      </c>
      <c r="E1126">
        <f>(Prices!E134/Prices!E133)-1</f>
        <v>-1.9235564421330453E-3</v>
      </c>
      <c r="F1126">
        <f>(Prices!F134/Prices!F133)-1</f>
        <v>-1.7864189116475804E-2</v>
      </c>
      <c r="G1126">
        <f t="shared" si="68"/>
        <v>-3.2527294314585124E-3</v>
      </c>
      <c r="H1126" s="8">
        <f t="shared" si="71"/>
        <v>645226.47512441617</v>
      </c>
      <c r="I1126" s="8">
        <f t="shared" si="69"/>
        <v>1067100.1647020529</v>
      </c>
      <c r="J1126" s="13">
        <f t="shared" si="70"/>
        <v>-0.39534591365697047</v>
      </c>
    </row>
    <row r="1127" spans="1:10" x14ac:dyDescent="0.25">
      <c r="A1127" s="6">
        <v>46097</v>
      </c>
      <c r="B1127">
        <f>(Prices!B133/Prices!B132)-1</f>
        <v>-1.0714987876007553E-2</v>
      </c>
      <c r="C1127">
        <f>(Prices!C133/Prices!C132)-1</f>
        <v>-1.1020736054626612E-2</v>
      </c>
      <c r="D1127">
        <f>(Prices!D133/Prices!D132)-1</f>
        <v>-7.0889991622091753E-3</v>
      </c>
      <c r="E1127">
        <f>(Prices!E133/Prices!E132)-1</f>
        <v>-9.5261616624915391E-3</v>
      </c>
      <c r="F1127">
        <f>(Prices!F133/Prices!F132)-1</f>
        <v>-1.1909403466487167E-2</v>
      </c>
      <c r="G1127">
        <f t="shared" si="68"/>
        <v>-1.0052057644364409E-2</v>
      </c>
      <c r="H1127" s="8">
        <f t="shared" si="71"/>
        <v>638740.62140279543</v>
      </c>
      <c r="I1127" s="8">
        <f t="shared" si="69"/>
        <v>1067100.1647020529</v>
      </c>
      <c r="J1127" s="13">
        <f t="shared" si="70"/>
        <v>-0.40142393138779114</v>
      </c>
    </row>
    <row r="1128" spans="1:10" x14ac:dyDescent="0.25">
      <c r="A1128" s="5">
        <v>46098</v>
      </c>
      <c r="B1128">
        <f>(Prices!B132/Prices!B131)-1</f>
        <v>-1.7228609152094676E-2</v>
      </c>
      <c r="C1128">
        <f>(Prices!C132/Prices!C131)-1</f>
        <v>1.3574660633484115E-3</v>
      </c>
      <c r="D1128">
        <f>(Prices!D132/Prices!D131)-1</f>
        <v>-9.8902501276162402E-3</v>
      </c>
      <c r="E1128">
        <f>(Prices!E132/Prices!E131)-1</f>
        <v>-2.5338729544254202E-3</v>
      </c>
      <c r="F1128">
        <f>(Prices!F132/Prices!F131)-1</f>
        <v>-7.2486716633238801E-3</v>
      </c>
      <c r="G1128">
        <f t="shared" si="68"/>
        <v>-7.1087875668223608E-3</v>
      </c>
      <c r="H1128" s="8">
        <f t="shared" si="71"/>
        <v>634199.95001494291</v>
      </c>
      <c r="I1128" s="8">
        <f t="shared" si="69"/>
        <v>1067100.1647020529</v>
      </c>
      <c r="J1128" s="13">
        <f t="shared" si="70"/>
        <v>-0.40567908150213894</v>
      </c>
    </row>
    <row r="1129" spans="1:10" x14ac:dyDescent="0.25">
      <c r="A1129" s="6">
        <v>46099</v>
      </c>
      <c r="B1129">
        <f>(Prices!B131/Prices!B130)-1</f>
        <v>1.0478018938530953E-2</v>
      </c>
      <c r="C1129">
        <f>(Prices!C131/Prices!C130)-1</f>
        <v>1.9451064811255581E-2</v>
      </c>
      <c r="D1129">
        <f>(Prices!D131/Prices!D130)-1</f>
        <v>7.7160493827159726E-3</v>
      </c>
      <c r="E1129">
        <f>(Prices!E131/Prices!E130)-1</f>
        <v>-2.9474718411173217E-3</v>
      </c>
      <c r="F1129">
        <f>(Prices!F131/Prices!F130)-1</f>
        <v>1.138830563365234E-2</v>
      </c>
      <c r="G1129">
        <f t="shared" si="68"/>
        <v>9.2171933850075053E-3</v>
      </c>
      <c r="H1129" s="8">
        <f t="shared" si="71"/>
        <v>640045.49359899282</v>
      </c>
      <c r="I1129" s="8">
        <f t="shared" si="69"/>
        <v>1067100.1647020529</v>
      </c>
      <c r="J1129" s="13">
        <f t="shared" si="70"/>
        <v>-0.40020111066358882</v>
      </c>
    </row>
    <row r="1130" spans="1:10" x14ac:dyDescent="0.25">
      <c r="A1130" s="5">
        <v>46100</v>
      </c>
      <c r="B1130">
        <f>(Prices!B130/Prices!B129)-1</f>
        <v>1.8255908720457015E-3</v>
      </c>
      <c r="C1130">
        <f>(Prices!C130/Prices!C129)-1</f>
        <v>7.1234998064266808E-3</v>
      </c>
      <c r="D1130">
        <f>(Prices!D130/Prices!D129)-1</f>
        <v>-3.5879036391593955E-3</v>
      </c>
      <c r="E1130">
        <f>(Prices!E130/Prices!E129)-1</f>
        <v>-8.0639506345980827E-4</v>
      </c>
      <c r="F1130">
        <f>(Prices!F130/Prices!F129)-1</f>
        <v>1.3891895792740305E-2</v>
      </c>
      <c r="G1130">
        <f t="shared" si="68"/>
        <v>3.6893375537186968E-3</v>
      </c>
      <c r="H1130" s="8">
        <f t="shared" si="71"/>
        <v>642406.83747461613</v>
      </c>
      <c r="I1130" s="8">
        <f t="shared" si="69"/>
        <v>1067100.1647020529</v>
      </c>
      <c r="J1130" s="13">
        <f t="shared" si="70"/>
        <v>-0.39798825009648109</v>
      </c>
    </row>
    <row r="1131" spans="1:10" x14ac:dyDescent="0.25">
      <c r="A1131" s="6">
        <v>46101</v>
      </c>
      <c r="B1131">
        <f>(Prices!B129/Prices!B128)-1</f>
        <v>2.0357249775471598E-2</v>
      </c>
      <c r="C1131">
        <f>(Prices!C129/Prices!C128)-1</f>
        <v>1.8720584755343994E-2</v>
      </c>
      <c r="D1131">
        <f>(Prices!D129/Prices!D128)-1</f>
        <v>-9.4561147426539538E-3</v>
      </c>
      <c r="E1131">
        <f>(Prices!E129/Prices!E128)-1</f>
        <v>4.9327038263689005E-3</v>
      </c>
      <c r="F1131">
        <f>(Prices!F129/Prices!F128)-1</f>
        <v>1.7587662933724824E-2</v>
      </c>
      <c r="G1131">
        <f t="shared" si="68"/>
        <v>1.0428417309651074E-2</v>
      </c>
      <c r="H1131" s="8">
        <f t="shared" si="71"/>
        <v>649106.12405837467</v>
      </c>
      <c r="I1131" s="8">
        <f t="shared" si="69"/>
        <v>1067100.1647020529</v>
      </c>
      <c r="J1131" s="13">
        <f t="shared" si="70"/>
        <v>-0.39171022034317388</v>
      </c>
    </row>
    <row r="1132" spans="1:10" x14ac:dyDescent="0.25">
      <c r="A1132" s="5">
        <v>46104</v>
      </c>
      <c r="B1132">
        <f>(Prices!B128/Prices!B127)-1</f>
        <v>-3.5135403891412009E-3</v>
      </c>
      <c r="C1132">
        <f>(Prices!C128/Prices!C127)-1</f>
        <v>-2.936164634945615E-3</v>
      </c>
      <c r="D1132">
        <f>(Prices!D128/Prices!D127)-1</f>
        <v>-9.0560342116847714E-3</v>
      </c>
      <c r="E1132">
        <f>(Prices!E128/Prices!E127)-1</f>
        <v>-1.1562304102528342E-2</v>
      </c>
      <c r="F1132">
        <f>(Prices!F128/Prices!F127)-1</f>
        <v>2.2449975597852667E-2</v>
      </c>
      <c r="G1132">
        <f t="shared" si="68"/>
        <v>-9.2361354808945337E-4</v>
      </c>
      <c r="H1132" s="8">
        <f t="shared" si="71"/>
        <v>648506.60084804648</v>
      </c>
      <c r="I1132" s="8">
        <f t="shared" si="69"/>
        <v>1067100.1647020529</v>
      </c>
      <c r="J1132" s="13">
        <f t="shared" si="70"/>
        <v>-0.39227204502482932</v>
      </c>
    </row>
    <row r="1133" spans="1:10" x14ac:dyDescent="0.25">
      <c r="A1133" s="6">
        <v>46105</v>
      </c>
      <c r="B1133">
        <f>(Prices!B127/Prices!B126)-1</f>
        <v>4.0023441809156068E-2</v>
      </c>
      <c r="C1133">
        <f>(Prices!C127/Prices!C126)-1</f>
        <v>2.7502424307725315E-2</v>
      </c>
      <c r="D1133">
        <f>(Prices!D127/Prices!D126)-1</f>
        <v>-2.5733717296734349E-2</v>
      </c>
      <c r="E1133">
        <f>(Prices!E127/Prices!E126)-1</f>
        <v>-8.5287110251718312E-3</v>
      </c>
      <c r="F1133">
        <f>(Prices!F127/Prices!F126)-1</f>
        <v>-1.0071354244090891E-2</v>
      </c>
      <c r="G1133">
        <f t="shared" si="68"/>
        <v>4.6384167101768637E-3</v>
      </c>
      <c r="H1133" s="8">
        <f t="shared" si="71"/>
        <v>651514.64470208017</v>
      </c>
      <c r="I1133" s="8">
        <f t="shared" si="69"/>
        <v>1067100.1647020529</v>
      </c>
      <c r="J1133" s="13">
        <f t="shared" si="70"/>
        <v>-0.38945314952323073</v>
      </c>
    </row>
    <row r="1134" spans="1:10" x14ac:dyDescent="0.25">
      <c r="A1134" s="5">
        <v>46106</v>
      </c>
      <c r="B1134">
        <f>(Prices!B126/Prices!B125)-1</f>
        <v>-1.6863406408095249E-3</v>
      </c>
      <c r="C1134">
        <f>(Prices!C126/Prices!C125)-1</f>
        <v>4.6003139037722462E-3</v>
      </c>
      <c r="D1134">
        <f>(Prices!D126/Prices!D125)-1</f>
        <v>1.297169811320753E-2</v>
      </c>
      <c r="E1134">
        <f>(Prices!E126/Prices!E125)-1</f>
        <v>-1.0218728639781349E-2</v>
      </c>
      <c r="F1134">
        <f>(Prices!F126/Prices!F125)-1</f>
        <v>6.3956315218609561E-3</v>
      </c>
      <c r="G1134">
        <f t="shared" si="68"/>
        <v>2.4125148516499721E-3</v>
      </c>
      <c r="H1134" s="8">
        <f t="shared" si="71"/>
        <v>653086.43345849146</v>
      </c>
      <c r="I1134" s="8">
        <f t="shared" si="69"/>
        <v>1067100.1647020529</v>
      </c>
      <c r="J1134" s="13">
        <f t="shared" si="70"/>
        <v>-0.38798019617882734</v>
      </c>
    </row>
    <row r="1135" spans="1:10" x14ac:dyDescent="0.25">
      <c r="A1135" s="6">
        <v>46107</v>
      </c>
      <c r="B1135">
        <f>(Prices!B125/Prices!B124)-1</f>
        <v>3.5641729336707506E-2</v>
      </c>
      <c r="C1135">
        <f>(Prices!C125/Prices!C124)-1</f>
        <v>1.385497544514247E-2</v>
      </c>
      <c r="D1135">
        <f>(Prices!D125/Prices!D124)-1</f>
        <v>-1.3107926007595139E-2</v>
      </c>
      <c r="E1135">
        <f>(Prices!E125/Prices!E124)-1</f>
        <v>1.2912382732717109E-2</v>
      </c>
      <c r="F1135">
        <f>(Prices!F125/Prices!F124)-1</f>
        <v>9.3242733106833064E-3</v>
      </c>
      <c r="G1135">
        <f t="shared" si="68"/>
        <v>1.1725086963531053E-2</v>
      </c>
      <c r="H1135" s="8">
        <f t="shared" si="71"/>
        <v>660743.92868549458</v>
      </c>
      <c r="I1135" s="8">
        <f t="shared" si="69"/>
        <v>1067100.1647020529</v>
      </c>
      <c r="J1135" s="13">
        <f t="shared" si="70"/>
        <v>-0.38080421075562093</v>
      </c>
    </row>
    <row r="1136" spans="1:10" x14ac:dyDescent="0.25">
      <c r="A1136" s="5">
        <v>46108</v>
      </c>
      <c r="B1136">
        <f>(Prices!B124/Prices!B123)-1</f>
        <v>2.3978102189780914E-2</v>
      </c>
      <c r="C1136">
        <f>(Prices!C124/Prices!C123)-1</f>
        <v>2.5778853460163953E-2</v>
      </c>
      <c r="D1136">
        <f>(Prices!D124/Prices!D123)-1</f>
        <v>-3.2475998577693566E-2</v>
      </c>
      <c r="E1136">
        <f>(Prices!E124/Prices!E123)-1</f>
        <v>3.1162989933604779E-2</v>
      </c>
      <c r="F1136">
        <f>(Prices!F124/Prices!F123)-1</f>
        <v>3.4886900808688504E-2</v>
      </c>
      <c r="G1136">
        <f t="shared" si="68"/>
        <v>1.6666169562908919E-2</v>
      </c>
      <c r="H1136" s="8">
        <f t="shared" si="71"/>
        <v>671755.99903862958</v>
      </c>
      <c r="I1136" s="8">
        <f t="shared" si="69"/>
        <v>1067100.1647020529</v>
      </c>
      <c r="J1136" s="13">
        <f t="shared" si="70"/>
        <v>-0.37048458873943491</v>
      </c>
    </row>
    <row r="1137" spans="1:10" x14ac:dyDescent="0.25">
      <c r="A1137" s="6">
        <v>46111</v>
      </c>
      <c r="B1137">
        <f>(Prices!B123/Prices!B122)-1</f>
        <v>3.0751208083172887E-3</v>
      </c>
      <c r="C1137">
        <f>(Prices!C123/Prices!C122)-1</f>
        <v>-6.0977315319851177E-3</v>
      </c>
      <c r="D1137">
        <f>(Prices!D123/Prices!D122)-1</f>
        <v>-2.8365441437181449E-3</v>
      </c>
      <c r="E1137">
        <f>(Prices!E123/Prices!E122)-1</f>
        <v>-3.2733224222586399E-3</v>
      </c>
      <c r="F1137">
        <f>(Prices!F123/Prices!F122)-1</f>
        <v>-1.0591009238143045E-2</v>
      </c>
      <c r="G1137">
        <f t="shared" si="68"/>
        <v>-3.944697305557532E-3</v>
      </c>
      <c r="H1137" s="8">
        <f t="shared" si="71"/>
        <v>669106.12495922972</v>
      </c>
      <c r="I1137" s="8">
        <f t="shared" si="69"/>
        <v>1067100.1647020529</v>
      </c>
      <c r="J1137" s="13">
        <f t="shared" si="70"/>
        <v>-0.37296783648604148</v>
      </c>
    </row>
    <row r="1138" spans="1:10" x14ac:dyDescent="0.25">
      <c r="A1138" s="5">
        <v>46112</v>
      </c>
      <c r="B1138">
        <f>(Prices!B122/Prices!B121)-1</f>
        <v>-4.8885793871866201E-2</v>
      </c>
      <c r="C1138">
        <f>(Prices!C122/Prices!C121)-1</f>
        <v>-3.0297276771183768E-2</v>
      </c>
      <c r="D1138">
        <f>(Prices!D122/Prices!D121)-1</f>
        <v>1.0691035059427811E-2</v>
      </c>
      <c r="E1138">
        <f>(Prices!E122/Prices!E121)-1</f>
        <v>-3.5318345632400994E-2</v>
      </c>
      <c r="F1138">
        <f>(Prices!F122/Prices!F121)-1</f>
        <v>-3.2534310609177108E-2</v>
      </c>
      <c r="G1138">
        <f t="shared" si="68"/>
        <v>-2.7268938365040053E-2</v>
      </c>
      <c r="H1138" s="8">
        <f t="shared" si="71"/>
        <v>650860.31127804564</v>
      </c>
      <c r="I1138" s="8">
        <f t="shared" si="69"/>
        <v>1067100.1647020529</v>
      </c>
      <c r="J1138" s="13">
        <f t="shared" si="70"/>
        <v>-0.39006633790580142</v>
      </c>
    </row>
    <row r="1139" spans="1:10" x14ac:dyDescent="0.25">
      <c r="A1139" s="6">
        <v>46113</v>
      </c>
      <c r="B1139">
        <f>(Prices!B121/Prices!B120)-1</f>
        <v>-3.3061746683724968E-2</v>
      </c>
      <c r="C1139">
        <f>(Prices!C121/Prices!C120)-1</f>
        <v>2.1746221593998971E-3</v>
      </c>
      <c r="D1139">
        <f>(Prices!D121/Prices!D120)-1</f>
        <v>5.5208924182265307E-2</v>
      </c>
      <c r="E1139">
        <f>(Prices!E121/Prices!E120)-1</f>
        <v>-4.1359037462400661E-3</v>
      </c>
      <c r="F1139">
        <f>(Prices!F121/Prices!F120)-1</f>
        <v>-1.2372580883439066E-2</v>
      </c>
      <c r="G1139">
        <f t="shared" si="68"/>
        <v>1.5626630056522206E-3</v>
      </c>
      <c r="H1139" s="8">
        <f t="shared" si="71"/>
        <v>651877.38660832716</v>
      </c>
      <c r="I1139" s="8">
        <f t="shared" si="69"/>
        <v>1067100.1647020529</v>
      </c>
      <c r="J1139" s="13">
        <f t="shared" si="70"/>
        <v>-0.38911321713614477</v>
      </c>
    </row>
    <row r="1140" spans="1:10" x14ac:dyDescent="0.25">
      <c r="A1140" s="5">
        <v>46114</v>
      </c>
      <c r="B1140">
        <f>(Prices!B120/Prices!B119)-1</f>
        <v>5.4840893703453908E-3</v>
      </c>
      <c r="C1140">
        <f>(Prices!C120/Prices!C119)-1</f>
        <v>-1.0942330958462088E-2</v>
      </c>
      <c r="D1140">
        <f>(Prices!D120/Prices!D119)-1</f>
        <v>5.6753688989763518E-4</v>
      </c>
      <c r="E1140">
        <f>(Prices!E120/Prices!E119)-1</f>
        <v>2.6388841289968212E-3</v>
      </c>
      <c r="F1140">
        <f>(Prices!F120/Prices!F119)-1</f>
        <v>-1.1824817518248154E-2</v>
      </c>
      <c r="G1140">
        <f t="shared" si="68"/>
        <v>-2.8153276174940792E-3</v>
      </c>
      <c r="H1140" s="8">
        <f t="shared" si="71"/>
        <v>650042.13819858886</v>
      </c>
      <c r="I1140" s="8">
        <f t="shared" si="69"/>
        <v>1067100.1647020529</v>
      </c>
      <c r="J1140" s="13">
        <f t="shared" si="70"/>
        <v>-0.39083306356710351</v>
      </c>
    </row>
    <row r="1141" spans="1:10" x14ac:dyDescent="0.25">
      <c r="A1141" s="6">
        <v>46118</v>
      </c>
      <c r="B1141">
        <f>(Prices!B119/Prices!B118)-1</f>
        <v>-1.4084507042253613E-2</v>
      </c>
      <c r="C1141">
        <f>(Prices!C119/Prices!C118)-1</f>
        <v>1.5348160913351006E-3</v>
      </c>
      <c r="D1141">
        <f>(Prices!D119/Prices!D118)-1</f>
        <v>-1.6375139560848462E-2</v>
      </c>
      <c r="E1141">
        <f>(Prices!E119/Prices!E118)-1</f>
        <v>-7.9219366245069089E-3</v>
      </c>
      <c r="F1141">
        <f>(Prices!F119/Prices!F118)-1</f>
        <v>-1.4565725588922884E-2</v>
      </c>
      <c r="G1141">
        <f t="shared" si="68"/>
        <v>-1.0282498545039355E-2</v>
      </c>
      <c r="H1141" s="8">
        <f t="shared" si="71"/>
        <v>643358.08085834759</v>
      </c>
      <c r="I1141" s="8">
        <f t="shared" si="69"/>
        <v>1067100.1647020529</v>
      </c>
      <c r="J1141" s="13">
        <f t="shared" si="70"/>
        <v>-0.39709682170466087</v>
      </c>
    </row>
    <row r="1142" spans="1:10" x14ac:dyDescent="0.25">
      <c r="A1142" s="5">
        <v>46119</v>
      </c>
      <c r="B1142">
        <f>(Prices!B118/Prices!B117)-1</f>
        <v>-1.7896945063589853E-2</v>
      </c>
      <c r="C1142">
        <f>(Prices!C118/Prices!C117)-1</f>
        <v>1.5911971736022323E-3</v>
      </c>
      <c r="D1142">
        <f>(Prices!D118/Prices!D117)-1</f>
        <v>-3.3382789317506489E-3</v>
      </c>
      <c r="E1142">
        <f>(Prices!E118/Prices!E117)-1</f>
        <v>-6.5862802715573876E-3</v>
      </c>
      <c r="F1142">
        <f>(Prices!F118/Prices!F117)-1</f>
        <v>-8.5692676991877992E-2</v>
      </c>
      <c r="G1142">
        <f t="shared" si="68"/>
        <v>-2.2384596817034731E-2</v>
      </c>
      <c r="H1142" s="8">
        <f t="shared" si="71"/>
        <v>628956.76960935222</v>
      </c>
      <c r="I1142" s="8">
        <f t="shared" si="69"/>
        <v>1067100.1647020529</v>
      </c>
      <c r="J1142" s="13">
        <f t="shared" si="70"/>
        <v>-0.41059256627051083</v>
      </c>
    </row>
    <row r="1143" spans="1:10" x14ac:dyDescent="0.25">
      <c r="A1143" s="6">
        <v>46120</v>
      </c>
      <c r="B1143">
        <f>(Prices!B117/Prices!B116)-1</f>
        <v>-3.7389959928059935E-2</v>
      </c>
      <c r="C1143">
        <f>(Prices!C117/Prices!C116)-1</f>
        <v>-5.4449868569281801E-3</v>
      </c>
      <c r="D1143">
        <f>(Prices!D117/Prices!D116)-1</f>
        <v>4.9231367970422379E-2</v>
      </c>
      <c r="E1143">
        <f>(Prices!E117/Prices!E116)-1</f>
        <v>-3.4312926057601278E-2</v>
      </c>
      <c r="F1143">
        <f>(Prices!F117/Prices!F116)-1</f>
        <v>5.7212778622925953E-3</v>
      </c>
      <c r="G1143">
        <f t="shared" si="68"/>
        <v>-4.439045401974883E-3</v>
      </c>
      <c r="H1143" s="8">
        <f t="shared" si="71"/>
        <v>626164.80195317685</v>
      </c>
      <c r="I1143" s="8">
        <f t="shared" si="69"/>
        <v>1067100.1647020529</v>
      </c>
      <c r="J1143" s="13">
        <f t="shared" si="70"/>
        <v>-0.41320897262909756</v>
      </c>
    </row>
    <row r="1144" spans="1:10" x14ac:dyDescent="0.25">
      <c r="A1144" s="5">
        <v>46121</v>
      </c>
      <c r="B1144">
        <f>(Prices!B116/Prices!B115)-1</f>
        <v>-3.6780886513675393E-3</v>
      </c>
      <c r="C1144">
        <f>(Prices!C116/Prices!C115)-1</f>
        <v>3.3911077618689056E-3</v>
      </c>
      <c r="D1144">
        <f>(Prices!D116/Prices!D115)-1</f>
        <v>7.6470588235293402E-3</v>
      </c>
      <c r="E1144">
        <f>(Prices!E116/Prices!E115)-1</f>
        <v>-7.6066550139186617E-3</v>
      </c>
      <c r="F1144">
        <f>(Prices!F116/Prices!F115)-1</f>
        <v>-3.0333003626772381E-3</v>
      </c>
      <c r="G1144">
        <f t="shared" si="68"/>
        <v>-6.5597548851303866E-4</v>
      </c>
      <c r="H1144" s="8">
        <f t="shared" si="71"/>
        <v>625754.05319132598</v>
      </c>
      <c r="I1144" s="8">
        <f t="shared" si="69"/>
        <v>1067100.1647020529</v>
      </c>
      <c r="J1144" s="13">
        <f t="shared" si="70"/>
        <v>-0.41359389315993222</v>
      </c>
    </row>
    <row r="1145" spans="1:10" x14ac:dyDescent="0.25">
      <c r="A1145" s="6">
        <v>46122</v>
      </c>
      <c r="B1145">
        <f>(Prices!B115/Prices!B114)-1</f>
        <v>3.9450844248067884E-3</v>
      </c>
      <c r="C1145">
        <f>(Prices!C115/Prices!C114)-1</f>
        <v>5.9290142675365587E-3</v>
      </c>
      <c r="D1145">
        <f>(Prices!D115/Prices!D114)-1</f>
        <v>1.654375124576446E-2</v>
      </c>
      <c r="E1145">
        <f>(Prices!E115/Prices!E114)-1</f>
        <v>1.4911825726140471E-3</v>
      </c>
      <c r="F1145">
        <f>(Prices!F115/Prices!F114)-1</f>
        <v>8.4788029925186859E-3</v>
      </c>
      <c r="G1145">
        <f t="shared" si="68"/>
        <v>7.2775671006481074E-3</v>
      </c>
      <c r="H1145" s="8">
        <f t="shared" si="71"/>
        <v>630308.02030192839</v>
      </c>
      <c r="I1145" s="8">
        <f t="shared" si="69"/>
        <v>1067100.1647020529</v>
      </c>
      <c r="J1145" s="13">
        <f t="shared" si="70"/>
        <v>-0.40932628336917382</v>
      </c>
    </row>
    <row r="1146" spans="1:10" x14ac:dyDescent="0.25">
      <c r="A1146" s="5">
        <v>46125</v>
      </c>
      <c r="B1146">
        <f>(Prices!B114/Prices!B113)-1</f>
        <v>-1.2651522233648071E-2</v>
      </c>
      <c r="C1146">
        <f>(Prices!C114/Prices!C113)-1</f>
        <v>-3.5134005537850621E-2</v>
      </c>
      <c r="D1146">
        <f>(Prices!D114/Prices!D113)-1</f>
        <v>-8.6298459904410318E-4</v>
      </c>
      <c r="E1146">
        <f>(Prices!E114/Prices!E113)-1</f>
        <v>-1.2136932782527809E-2</v>
      </c>
      <c r="F1146">
        <f>(Prices!F114/Prices!F113)-1</f>
        <v>-2.7705935600672471E-2</v>
      </c>
      <c r="G1146">
        <f t="shared" si="68"/>
        <v>-1.7698276150748617E-2</v>
      </c>
      <c r="H1146" s="8">
        <f t="shared" si="71"/>
        <v>619152.6548985932</v>
      </c>
      <c r="I1146" s="8">
        <f t="shared" si="69"/>
        <v>1067100.1647020529</v>
      </c>
      <c r="J1146" s="13">
        <f t="shared" si="70"/>
        <v>-0.41978018992109517</v>
      </c>
    </row>
    <row r="1147" spans="1:10" x14ac:dyDescent="0.25">
      <c r="A1147" s="6">
        <v>46126</v>
      </c>
      <c r="B1147">
        <f>(Prices!B113/Prices!B112)-1</f>
        <v>-3.4857142857142809E-2</v>
      </c>
      <c r="C1147">
        <f>(Prices!C113/Prices!C112)-1</f>
        <v>-2.2221087045361632E-2</v>
      </c>
      <c r="D1147">
        <f>(Prices!D113/Prices!D112)-1</f>
        <v>2.281368821292773E-2</v>
      </c>
      <c r="E1147">
        <f>(Prices!E113/Prices!E112)-1</f>
        <v>8.2332429290969955E-3</v>
      </c>
      <c r="F1147">
        <f>(Prices!F113/Prices!F112)-1</f>
        <v>-3.7682373023286697E-3</v>
      </c>
      <c r="G1147">
        <f t="shared" si="68"/>
        <v>-5.9599072125616779E-3</v>
      </c>
      <c r="H1147" s="8">
        <f t="shared" si="71"/>
        <v>615462.56252498634</v>
      </c>
      <c r="I1147" s="8">
        <f t="shared" si="69"/>
        <v>1067100.1647020529</v>
      </c>
      <c r="J1147" s="13">
        <f t="shared" si="70"/>
        <v>-0.42323824615205563</v>
      </c>
    </row>
    <row r="1148" spans="1:10" x14ac:dyDescent="0.25">
      <c r="A1148" s="5">
        <v>46127</v>
      </c>
      <c r="B1148">
        <f>(Prices!B112/Prices!B111)-1</f>
        <v>-1.2474012474012475E-2</v>
      </c>
      <c r="C1148">
        <f>(Prices!C112/Prices!C111)-1</f>
        <v>-4.404727024123456E-2</v>
      </c>
      <c r="D1148">
        <f>(Prices!D112/Prices!D111)-1</f>
        <v>1.5640938456307207E-3</v>
      </c>
      <c r="E1148">
        <f>(Prices!E112/Prices!E111)-1</f>
        <v>1.694247438928298E-2</v>
      </c>
      <c r="F1148">
        <f>(Prices!F112/Prices!F111)-1</f>
        <v>4.188684108776819E-4</v>
      </c>
      <c r="G1148">
        <f t="shared" si="68"/>
        <v>-7.5191692138911314E-3</v>
      </c>
      <c r="H1148" s="8">
        <f t="shared" si="71"/>
        <v>610834.79537254584</v>
      </c>
      <c r="I1148" s="8">
        <f t="shared" si="69"/>
        <v>1067100.1647020529</v>
      </c>
      <c r="J1148" s="13">
        <f t="shared" si="70"/>
        <v>-0.42757501537533904</v>
      </c>
    </row>
    <row r="1149" spans="1:10" x14ac:dyDescent="0.25">
      <c r="A1149" s="6">
        <v>46128</v>
      </c>
      <c r="B1149">
        <f>(Prices!B111/Prices!B110)-1</f>
        <v>3.277711561382457E-3</v>
      </c>
      <c r="C1149">
        <f>(Prices!C111/Prices!C110)-1</f>
        <v>-2.1502293577981613E-2</v>
      </c>
      <c r="D1149">
        <f>(Prices!D111/Prices!D110)-1</f>
        <v>-1.9535938125083252E-2</v>
      </c>
      <c r="E1149">
        <f>(Prices!E111/Prices!E110)-1</f>
        <v>-1.2963443090484805E-2</v>
      </c>
      <c r="F1149">
        <f>(Prices!F111/Prices!F110)-1</f>
        <v>-7.4197262376870521E-3</v>
      </c>
      <c r="G1149">
        <f t="shared" si="68"/>
        <v>-1.1628737893970854E-2</v>
      </c>
      <c r="H1149" s="8">
        <f t="shared" si="71"/>
        <v>603731.55764064111</v>
      </c>
      <c r="I1149" s="8">
        <f t="shared" si="69"/>
        <v>1067100.1647020529</v>
      </c>
      <c r="J1149" s="13">
        <f t="shared" si="70"/>
        <v>-0.43423159548549956</v>
      </c>
    </row>
    <row r="1150" spans="1:10" x14ac:dyDescent="0.25">
      <c r="A1150" s="5">
        <v>46129</v>
      </c>
      <c r="B1150">
        <f>(Prices!B110/Prices!B109)-1</f>
        <v>-1.6585594561331463E-2</v>
      </c>
      <c r="C1150">
        <f>(Prices!C110/Prices!C109)-1</f>
        <v>-5.9846110002849118E-3</v>
      </c>
      <c r="D1150">
        <f>(Prices!D110/Prices!D109)-1</f>
        <v>3.7780238029338387E-2</v>
      </c>
      <c r="E1150">
        <f>(Prices!E110/Prices!E109)-1</f>
        <v>-1.1006798316606226E-3</v>
      </c>
      <c r="F1150">
        <f>(Prices!F110/Prices!F109)-1</f>
        <v>-2.5342102802281663E-2</v>
      </c>
      <c r="G1150">
        <f t="shared" si="68"/>
        <v>-2.246550033244055E-3</v>
      </c>
      <c r="H1150" s="8">
        <f t="shared" si="71"/>
        <v>602375.24448975304</v>
      </c>
      <c r="I1150" s="8">
        <f t="shared" si="69"/>
        <v>1067100.1647020529</v>
      </c>
      <c r="J1150" s="13">
        <f t="shared" si="70"/>
        <v>-0.43550262251347005</v>
      </c>
    </row>
    <row r="1151" spans="1:10" x14ac:dyDescent="0.25">
      <c r="A1151" s="6">
        <v>46132</v>
      </c>
      <c r="B1151">
        <f>(Prices!B109/Prices!B108)-1</f>
        <v>1.264094955489603E-2</v>
      </c>
      <c r="C1151">
        <f>(Prices!C109/Prices!C108)-1</f>
        <v>1.128776598299619E-2</v>
      </c>
      <c r="D1151">
        <f>(Prices!D109/Prices!D108)-1</f>
        <v>-8.3710717716480865E-3</v>
      </c>
      <c r="E1151">
        <f>(Prices!E109/Prices!E108)-1</f>
        <v>-2.1136356434388603E-2</v>
      </c>
      <c r="F1151">
        <f>(Prices!F109/Prices!F108)-1</f>
        <v>3.5661776206712403E-3</v>
      </c>
      <c r="G1151">
        <f t="shared" si="68"/>
        <v>-4.0250700949464495E-4</v>
      </c>
      <c r="H1151" s="8">
        <f t="shared" si="71"/>
        <v>602132.78423149989</v>
      </c>
      <c r="I1151" s="8">
        <f t="shared" si="69"/>
        <v>1067100.1647020529</v>
      </c>
      <c r="J1151" s="13">
        <f t="shared" si="70"/>
        <v>-0.43572983666474974</v>
      </c>
    </row>
    <row r="1152" spans="1:10" x14ac:dyDescent="0.25">
      <c r="A1152" s="5">
        <v>46133</v>
      </c>
      <c r="B1152">
        <f>(Prices!B108/Prices!B107)-1</f>
        <v>1.5427262866096303E-2</v>
      </c>
      <c r="C1152">
        <f>(Prices!C108/Prices!C107)-1</f>
        <v>-1.4368564327139288E-2</v>
      </c>
      <c r="D1152">
        <f>(Prices!D108/Prices!D107)-1</f>
        <v>-4.5761901509459024E-3</v>
      </c>
      <c r="E1152">
        <f>(Prices!E108/Prices!E107)-1</f>
        <v>1.2740693196405584E-2</v>
      </c>
      <c r="F1152">
        <f>(Prices!F108/Prices!F107)-1</f>
        <v>-6.5128385096800523E-2</v>
      </c>
      <c r="G1152">
        <f t="shared" si="68"/>
        <v>-1.1181036702476766E-2</v>
      </c>
      <c r="H1152" s="8">
        <f t="shared" si="71"/>
        <v>595400.315471243</v>
      </c>
      <c r="I1152" s="8">
        <f t="shared" si="69"/>
        <v>1067100.1647020529</v>
      </c>
      <c r="J1152" s="13">
        <f t="shared" si="70"/>
        <v>-0.44203896207111371</v>
      </c>
    </row>
    <row r="1153" spans="1:10" x14ac:dyDescent="0.25">
      <c r="A1153" s="6">
        <v>46134</v>
      </c>
      <c r="B1153">
        <f>(Prices!B107/Prices!B106)-1</f>
        <v>-2.0714074948362304E-2</v>
      </c>
      <c r="C1153">
        <f>(Prices!C107/Prices!C106)-1</f>
        <v>-2.0224041561333173E-2</v>
      </c>
      <c r="D1153">
        <f>(Prices!D107/Prices!D106)-1</f>
        <v>-7.6589399484885412E-3</v>
      </c>
      <c r="E1153">
        <f>(Prices!E107/Prices!E106)-1</f>
        <v>-6.4180732943897034E-5</v>
      </c>
      <c r="F1153">
        <f>(Prices!F107/Prices!F106)-1</f>
        <v>-2.1238836730020694E-2</v>
      </c>
      <c r="G1153">
        <f t="shared" si="68"/>
        <v>-1.3980014784229725E-2</v>
      </c>
      <c r="H1153" s="8">
        <f t="shared" si="71"/>
        <v>587076.61025842</v>
      </c>
      <c r="I1153" s="8">
        <f t="shared" si="69"/>
        <v>1067100.1647020529</v>
      </c>
      <c r="J1153" s="13">
        <f t="shared" si="70"/>
        <v>-0.44983926563038368</v>
      </c>
    </row>
    <row r="1154" spans="1:10" x14ac:dyDescent="0.25">
      <c r="A1154" s="5">
        <v>46135</v>
      </c>
      <c r="B1154">
        <f>(Prices!B106/Prices!B105)-1</f>
        <v>1.2704227848847616E-3</v>
      </c>
      <c r="C1154">
        <f>(Prices!C106/Prices!C105)-1</f>
        <v>4.1297365179800538E-2</v>
      </c>
      <c r="D1154">
        <f>(Prices!D106/Prices!D105)-1</f>
        <v>-6.7990575563784406E-3</v>
      </c>
      <c r="E1154">
        <f>(Prices!E106/Prices!E105)-1</f>
        <v>4.2863128041508158E-3</v>
      </c>
      <c r="F1154">
        <f>(Prices!F106/Prices!F105)-1</f>
        <v>-2.9395816090641569E-3</v>
      </c>
      <c r="G1154">
        <f t="shared" ref="G1154:G1217" si="72">B1154*20%+C1154*20%+D1154*20%+E1154*20%+F1154*20%</f>
        <v>7.4230923206787041E-3</v>
      </c>
      <c r="H1154" s="8">
        <f t="shared" si="71"/>
        <v>591434.53413567937</v>
      </c>
      <c r="I1154" s="8">
        <f t="shared" ref="I1154:I1217" si="73">MAX(I1153,H1154)</f>
        <v>1067100.1647020529</v>
      </c>
      <c r="J1154" s="13">
        <f t="shared" ref="J1154:J1217" si="74">(H1154-I1154)/I1154</f>
        <v>-0.4457553717079456</v>
      </c>
    </row>
    <row r="1155" spans="1:10" x14ac:dyDescent="0.25">
      <c r="A1155" s="6">
        <v>46136</v>
      </c>
      <c r="B1155">
        <f>(Prices!B105/Prices!B104)-1</f>
        <v>-1.5989766549408424E-2</v>
      </c>
      <c r="C1155">
        <f>(Prices!C105/Prices!C104)-1</f>
        <v>-2.0902792556335981E-2</v>
      </c>
      <c r="D1155">
        <f>(Prices!D105/Prices!D104)-1</f>
        <v>1.0888057162300235E-2</v>
      </c>
      <c r="E1155">
        <f>(Prices!E105/Prices!E104)-1</f>
        <v>1.1045943304007988E-2</v>
      </c>
      <c r="F1155">
        <f>(Prices!F105/Prices!F104)-1</f>
        <v>-9.97890175058469E-4</v>
      </c>
      <c r="G1155">
        <f t="shared" si="72"/>
        <v>-3.1912897628989293E-3</v>
      </c>
      <c r="H1155" s="8">
        <f t="shared" si="71"/>
        <v>589547.09516146721</v>
      </c>
      <c r="I1155" s="8">
        <f t="shared" si="73"/>
        <v>1067100.1647020529</v>
      </c>
      <c r="J1155" s="13">
        <f t="shared" si="74"/>
        <v>-0.44752412691635579</v>
      </c>
    </row>
    <row r="1156" spans="1:10" x14ac:dyDescent="0.25">
      <c r="A1156" s="5">
        <v>46139</v>
      </c>
      <c r="B1156">
        <f>(Prices!B104/Prices!B103)-1</f>
        <v>-1.6975793775542258E-2</v>
      </c>
      <c r="C1156">
        <f>(Prices!C104/Prices!C103)-1</f>
        <v>-4.7269031693886188E-4</v>
      </c>
      <c r="D1156">
        <f>(Prices!D104/Prices!D103)-1</f>
        <v>4.8550328227570105E-3</v>
      </c>
      <c r="E1156">
        <f>(Prices!E104/Prices!E103)-1</f>
        <v>-1.073397156948086E-2</v>
      </c>
      <c r="F1156">
        <f>(Prices!F104/Prices!F103)-1</f>
        <v>6.2763893643746904E-4</v>
      </c>
      <c r="G1156">
        <f t="shared" si="72"/>
        <v>-4.5399567805534998E-3</v>
      </c>
      <c r="H1156" s="8">
        <f t="shared" ref="H1156:H1219" si="75">H1155*(1+G1156)</f>
        <v>586870.57682933332</v>
      </c>
      <c r="I1156" s="8">
        <f t="shared" si="73"/>
        <v>1067100.1647020529</v>
      </c>
      <c r="J1156" s="13">
        <f t="shared" si="74"/>
        <v>-0.45003234350245408</v>
      </c>
    </row>
    <row r="1157" spans="1:10" x14ac:dyDescent="0.25">
      <c r="A1157" s="6">
        <v>46140</v>
      </c>
      <c r="B1157">
        <f>(Prices!B103/Prices!B102)-1</f>
        <v>1.6029769572063479E-3</v>
      </c>
      <c r="C1157">
        <f>(Prices!C103/Prices!C102)-1</f>
        <v>-1.0315306886227504E-2</v>
      </c>
      <c r="D1157">
        <f>(Prices!D103/Prices!D102)-1</f>
        <v>-1.5749091398573167E-2</v>
      </c>
      <c r="E1157">
        <f>(Prices!E103/Prices!E102)-1</f>
        <v>5.805515239478698E-4</v>
      </c>
      <c r="F1157">
        <f>(Prices!F103/Prices!F102)-1</f>
        <v>-3.29415659658997E-2</v>
      </c>
      <c r="G1157">
        <f t="shared" si="72"/>
        <v>-1.1364487153909232E-2</v>
      </c>
      <c r="H1157" s="8">
        <f t="shared" si="75"/>
        <v>580201.09369794908</v>
      </c>
      <c r="I1157" s="8">
        <f t="shared" si="73"/>
        <v>1067100.1647020529</v>
      </c>
      <c r="J1157" s="13">
        <f t="shared" si="74"/>
        <v>-0.456282443869786</v>
      </c>
    </row>
    <row r="1158" spans="1:10" x14ac:dyDescent="0.25">
      <c r="A1158" s="5">
        <v>46141</v>
      </c>
      <c r="B1158">
        <f>(Prices!B102/Prices!B101)-1</f>
        <v>-4.5778375439897712E-4</v>
      </c>
      <c r="C1158">
        <f>(Prices!C102/Prices!C101)-1</f>
        <v>1.1283264340626875E-2</v>
      </c>
      <c r="D1158">
        <f>(Prices!D102/Prices!D101)-1</f>
        <v>-2.6598532494758742E-2</v>
      </c>
      <c r="E1158">
        <f>(Prices!E102/Prices!E101)-1</f>
        <v>7.1136230754238472E-3</v>
      </c>
      <c r="F1158">
        <f>(Prices!F102/Prices!F101)-1</f>
        <v>-1.0699273977837209E-2</v>
      </c>
      <c r="G1158">
        <f t="shared" si="72"/>
        <v>-3.8717405621888409E-3</v>
      </c>
      <c r="H1158" s="8">
        <f t="shared" si="75"/>
        <v>577954.70558925241</v>
      </c>
      <c r="I1158" s="8">
        <f t="shared" si="73"/>
        <v>1067100.1647020529</v>
      </c>
      <c r="J1158" s="13">
        <f t="shared" si="74"/>
        <v>-0.45838757718622952</v>
      </c>
    </row>
    <row r="1159" spans="1:10" x14ac:dyDescent="0.25">
      <c r="A1159" s="6">
        <v>46142</v>
      </c>
      <c r="B1159">
        <f>(Prices!B101/Prices!B100)-1</f>
        <v>-9.05755620316403E-2</v>
      </c>
      <c r="C1159">
        <f>(Prices!C101/Prices!C100)-1</f>
        <v>4.0922857213207653E-2</v>
      </c>
      <c r="D1159">
        <f>(Prices!D101/Prices!D100)-1</f>
        <v>2.2324359816150441E-3</v>
      </c>
      <c r="E1159">
        <f>(Prices!E101/Prices!E100)-1</f>
        <v>-1.2731295898406048E-2</v>
      </c>
      <c r="F1159">
        <f>(Prices!F101/Prices!F100)-1</f>
        <v>7.1014967770133275E-4</v>
      </c>
      <c r="G1159">
        <f t="shared" si="72"/>
        <v>-1.1888283011504464E-2</v>
      </c>
      <c r="H1159" s="8">
        <f t="shared" si="75"/>
        <v>571083.81648137665</v>
      </c>
      <c r="I1159" s="8">
        <f t="shared" si="73"/>
        <v>1067100.1647020529</v>
      </c>
      <c r="J1159" s="13">
        <f t="shared" si="74"/>
        <v>-0.46482641895118626</v>
      </c>
    </row>
    <row r="1160" spans="1:10" x14ac:dyDescent="0.25">
      <c r="A1160" s="5">
        <v>46143</v>
      </c>
      <c r="B1160">
        <f>(Prices!B100/Prices!B99)-1</f>
        <v>-2.3104280781910402E-3</v>
      </c>
      <c r="C1160">
        <f>(Prices!C100/Prices!C99)-1</f>
        <v>-1.6086440390532197E-2</v>
      </c>
      <c r="D1160">
        <f>(Prices!D100/Prices!D99)-1</f>
        <v>1.034894520366203E-2</v>
      </c>
      <c r="E1160">
        <f>(Prices!E100/Prices!E99)-1</f>
        <v>2.4431799916417862E-3</v>
      </c>
      <c r="F1160">
        <f>(Prices!F100/Prices!F99)-1</f>
        <v>4.6098123147844117E-3</v>
      </c>
      <c r="G1160">
        <f t="shared" si="72"/>
        <v>-1.9898619172700207E-4</v>
      </c>
      <c r="H1160" s="8">
        <f t="shared" si="75"/>
        <v>570970.17868757807</v>
      </c>
      <c r="I1160" s="8">
        <f t="shared" si="73"/>
        <v>1067100.1647020529</v>
      </c>
      <c r="J1160" s="13">
        <f t="shared" si="74"/>
        <v>-0.4649329111039921</v>
      </c>
    </row>
    <row r="1161" spans="1:10" x14ac:dyDescent="0.25">
      <c r="A1161" s="6">
        <v>46146</v>
      </c>
      <c r="B1161">
        <f>(Prices!B99/Prices!B98)-1</f>
        <v>6.3482940592507475E-3</v>
      </c>
      <c r="C1161">
        <f>(Prices!C99/Prices!C98)-1</f>
        <v>1.9905328316542903E-3</v>
      </c>
      <c r="D1161">
        <f>(Prices!D99/Prices!D98)-1</f>
        <v>-6.1317333684972608E-3</v>
      </c>
      <c r="E1161">
        <f>(Prices!E99/Prices!E98)-1</f>
        <v>1.5672445881085295E-2</v>
      </c>
      <c r="F1161">
        <f>(Prices!F99/Prices!F98)-1</f>
        <v>-5.3221976582330521E-3</v>
      </c>
      <c r="G1161">
        <f t="shared" si="72"/>
        <v>2.5114683490520037E-3</v>
      </c>
      <c r="H1161" s="8">
        <f t="shared" si="75"/>
        <v>572404.15221960447</v>
      </c>
      <c r="I1161" s="8">
        <f t="shared" si="73"/>
        <v>1067100.1647020529</v>
      </c>
      <c r="J1161" s="13">
        <f t="shared" si="74"/>
        <v>-0.46358910704561035</v>
      </c>
    </row>
    <row r="1162" spans="1:10" x14ac:dyDescent="0.25">
      <c r="A1162" s="5">
        <v>46147</v>
      </c>
      <c r="B1162">
        <f>(Prices!B98/Prices!B97)-1</f>
        <v>-1.3326459595308759E-2</v>
      </c>
      <c r="C1162">
        <f>(Prices!C98/Prices!C97)-1</f>
        <v>5.4427413843598504E-3</v>
      </c>
      <c r="D1162">
        <f>(Prices!D98/Prices!D97)-1</f>
        <v>-7.7199869152764222E-3</v>
      </c>
      <c r="E1162">
        <f>(Prices!E98/Prices!E97)-1</f>
        <v>-5.6491672348301103E-3</v>
      </c>
      <c r="F1162">
        <f>(Prices!F98/Prices!F97)-1</f>
        <v>1.891042576267421E-2</v>
      </c>
      <c r="G1162">
        <f t="shared" si="72"/>
        <v>-4.6848931967624673E-4</v>
      </c>
      <c r="H1162" s="8">
        <f t="shared" si="75"/>
        <v>572135.98698775121</v>
      </c>
      <c r="I1162" s="8">
        <f t="shared" si="73"/>
        <v>1067100.1647020529</v>
      </c>
      <c r="J1162" s="13">
        <f t="shared" si="74"/>
        <v>-0.46384040981991753</v>
      </c>
    </row>
    <row r="1163" spans="1:10" x14ac:dyDescent="0.25">
      <c r="A1163" s="6">
        <v>46148</v>
      </c>
      <c r="B1163">
        <f>(Prices!B97/Prices!B96)-1</f>
        <v>-2.4147905923783242E-2</v>
      </c>
      <c r="C1163">
        <f>(Prices!C97/Prices!C96)-1</f>
        <v>-6.2334764364888606E-3</v>
      </c>
      <c r="D1163">
        <f>(Prices!D97/Prices!D96)-1</f>
        <v>4.1638271773204227E-2</v>
      </c>
      <c r="E1163">
        <f>(Prices!E97/Prices!E96)-1</f>
        <v>-1.7480621391432027E-2</v>
      </c>
      <c r="F1163">
        <f>(Prices!F97/Prices!F96)-1</f>
        <v>-9.2847696715891992E-3</v>
      </c>
      <c r="G1163">
        <f t="shared" si="72"/>
        <v>-3.1017003300178201E-3</v>
      </c>
      <c r="H1163" s="8">
        <f t="shared" si="75"/>
        <v>570361.39260809624</v>
      </c>
      <c r="I1163" s="8">
        <f t="shared" si="73"/>
        <v>1067100.1647020529</v>
      </c>
      <c r="J1163" s="13">
        <f t="shared" si="74"/>
        <v>-0.46550341619772129</v>
      </c>
    </row>
    <row r="1164" spans="1:10" x14ac:dyDescent="0.25">
      <c r="A1164" s="5">
        <v>46149</v>
      </c>
      <c r="B1164">
        <f>(Prices!B96/Prices!B95)-1</f>
        <v>1.2578616352199035E-4</v>
      </c>
      <c r="C1164">
        <f>(Prices!C96/Prices!C95)-1</f>
        <v>-1.617868136588152E-2</v>
      </c>
      <c r="D1164">
        <f>(Prices!D96/Prices!D95)-1</f>
        <v>1.4378542789990512E-2</v>
      </c>
      <c r="E1164">
        <f>(Prices!E96/Prices!E95)-1</f>
        <v>2.8173171531649777E-2</v>
      </c>
      <c r="F1164">
        <f>(Prices!F96/Prices!F95)-1</f>
        <v>-6.6504283094775962E-3</v>
      </c>
      <c r="G1164">
        <f t="shared" si="72"/>
        <v>3.9696781619606332E-3</v>
      </c>
      <c r="H1164" s="8">
        <f t="shared" si="75"/>
        <v>572625.5437727581</v>
      </c>
      <c r="I1164" s="8">
        <f t="shared" si="73"/>
        <v>1067100.1647020529</v>
      </c>
      <c r="J1164" s="13">
        <f t="shared" si="74"/>
        <v>-0.4633816367813588</v>
      </c>
    </row>
    <row r="1165" spans="1:10" x14ac:dyDescent="0.25">
      <c r="A1165" s="6">
        <v>46150</v>
      </c>
      <c r="B1165">
        <f>(Prices!B95/Prices!B94)-1</f>
        <v>-6.9947539345490695E-3</v>
      </c>
      <c r="C1165">
        <f>(Prices!C95/Prices!C94)-1</f>
        <v>1.3617453560371473E-2</v>
      </c>
      <c r="D1165">
        <f>(Prices!D95/Prices!D94)-1</f>
        <v>1.3948272236629977E-2</v>
      </c>
      <c r="E1165">
        <f>(Prices!E95/Prices!E94)-1</f>
        <v>1.3798836242726376E-2</v>
      </c>
      <c r="F1165">
        <f>(Prices!F95/Prices!F94)-1</f>
        <v>-2.6950014646747067E-2</v>
      </c>
      <c r="G1165">
        <f t="shared" si="72"/>
        <v>1.483958691686338E-3</v>
      </c>
      <c r="H1165" s="8">
        <f t="shared" si="75"/>
        <v>573475.29642552137</v>
      </c>
      <c r="I1165" s="8">
        <f t="shared" si="73"/>
        <v>1067100.1647020529</v>
      </c>
      <c r="J1165" s="13">
        <f t="shared" si="74"/>
        <v>-0.46258531729714192</v>
      </c>
    </row>
    <row r="1166" spans="1:10" x14ac:dyDescent="0.25">
      <c r="A1166" s="5">
        <v>46153</v>
      </c>
      <c r="B1166">
        <f>(Prices!B94/Prices!B93)-1</f>
        <v>3.1275762572135157E-2</v>
      </c>
      <c r="C1166">
        <f>(Prices!C94/Prices!C93)-1</f>
        <v>5.9612156013528761E-3</v>
      </c>
      <c r="D1166">
        <f>(Prices!D94/Prices!D93)-1</f>
        <v>-3.4120912599011732E-2</v>
      </c>
      <c r="E1166">
        <f>(Prices!E94/Prices!E93)-1</f>
        <v>7.0316423907585968E-3</v>
      </c>
      <c r="F1166">
        <f>(Prices!F94/Prices!F93)-1</f>
        <v>-1.1607706885660152E-2</v>
      </c>
      <c r="G1166">
        <f t="shared" si="72"/>
        <v>-2.9199978408504974E-4</v>
      </c>
      <c r="H1166" s="8">
        <f t="shared" si="75"/>
        <v>573307.84176278708</v>
      </c>
      <c r="I1166" s="8">
        <f t="shared" si="73"/>
        <v>1067100.1647020529</v>
      </c>
      <c r="J1166" s="13">
        <f t="shared" si="74"/>
        <v>-0.46274224226845523</v>
      </c>
    </row>
    <row r="1167" spans="1:10" x14ac:dyDescent="0.25">
      <c r="A1167" s="6">
        <v>46154</v>
      </c>
      <c r="B1167">
        <f>(Prices!B93/Prices!B92)-1</f>
        <v>3.3344534339700971E-3</v>
      </c>
      <c r="C1167">
        <f>(Prices!C93/Prices!C92)-1</f>
        <v>1.199152959716332E-2</v>
      </c>
      <c r="D1167">
        <f>(Prices!D93/Prices!D92)-1</f>
        <v>-6.3235788765556578E-3</v>
      </c>
      <c r="E1167">
        <f>(Prices!E93/Prices!E92)-1</f>
        <v>-1.6012651971928471E-2</v>
      </c>
      <c r="F1167">
        <f>(Prices!F93/Prices!F92)-1</f>
        <v>-3.0148316442447642E-2</v>
      </c>
      <c r="G1167">
        <f t="shared" si="72"/>
        <v>-7.4317128519596713E-3</v>
      </c>
      <c r="H1167" s="8">
        <f t="shared" si="75"/>
        <v>569047.18250702927</v>
      </c>
      <c r="I1167" s="8">
        <f t="shared" si="73"/>
        <v>1067100.1647020529</v>
      </c>
      <c r="J1167" s="13">
        <f t="shared" si="74"/>
        <v>-0.46673498765140381</v>
      </c>
    </row>
    <row r="1168" spans="1:10" x14ac:dyDescent="0.25">
      <c r="A1168" s="5">
        <v>46155</v>
      </c>
      <c r="B1168">
        <f>(Prices!B92/Prices!B91)-1</f>
        <v>-3.792400278523822E-2</v>
      </c>
      <c r="C1168">
        <f>(Prices!C92/Prices!C91)-1</f>
        <v>6.3186064375448936E-3</v>
      </c>
      <c r="D1168">
        <f>(Prices!D92/Prices!D91)-1</f>
        <v>-6.2174087444846204E-3</v>
      </c>
      <c r="E1168">
        <f>(Prices!E92/Prices!E91)-1</f>
        <v>1.5423218467714994E-2</v>
      </c>
      <c r="F1168">
        <f>(Prices!F92/Prices!F91)-1</f>
        <v>-1.1880738573302296E-2</v>
      </c>
      <c r="G1168">
        <f t="shared" si="72"/>
        <v>-6.8560650395530498E-3</v>
      </c>
      <c r="H1168" s="8">
        <f t="shared" si="75"/>
        <v>565145.75801318663</v>
      </c>
      <c r="I1168" s="8">
        <f t="shared" si="73"/>
        <v>1067100.1647020529</v>
      </c>
      <c r="J1168" s="13">
        <f t="shared" si="74"/>
        <v>-0.47039108725938389</v>
      </c>
    </row>
    <row r="1169" spans="1:10" x14ac:dyDescent="0.25">
      <c r="A1169" s="6">
        <v>46156</v>
      </c>
      <c r="B1169">
        <f>(Prices!B91/Prices!B90)-1</f>
        <v>3.8694859824750516E-3</v>
      </c>
      <c r="C1169">
        <f>(Prices!C91/Prices!C90)-1</f>
        <v>-1.032419441855903E-2</v>
      </c>
      <c r="D1169">
        <f>(Prices!D91/Prices!D90)-1</f>
        <v>-7.8928168733832793E-3</v>
      </c>
      <c r="E1169">
        <f>(Prices!E91/Prices!E90)-1</f>
        <v>1.1052684462604656E-3</v>
      </c>
      <c r="F1169">
        <f>(Prices!F91/Prices!F90)-1</f>
        <v>5.1724137931035141E-3</v>
      </c>
      <c r="G1169">
        <f t="shared" si="72"/>
        <v>-1.6139686140206554E-3</v>
      </c>
      <c r="H1169" s="8">
        <f t="shared" si="75"/>
        <v>564233.63049740647</v>
      </c>
      <c r="I1169" s="8">
        <f t="shared" si="73"/>
        <v>1067100.1647020529</v>
      </c>
      <c r="J1169" s="13">
        <f t="shared" si="74"/>
        <v>-0.47124585942225283</v>
      </c>
    </row>
    <row r="1170" spans="1:10" x14ac:dyDescent="0.25">
      <c r="A1170" s="5">
        <v>46157</v>
      </c>
      <c r="B1170">
        <f>(Prices!B90/Prices!B89)-1</f>
        <v>1.0800171591511143E-2</v>
      </c>
      <c r="C1170">
        <f>(Prices!C90/Prices!C89)-1</f>
        <v>-2.9603541002332201E-2</v>
      </c>
      <c r="D1170">
        <f>(Prices!D90/Prices!D89)-1</f>
        <v>-3.906947100063729E-2</v>
      </c>
      <c r="E1170">
        <f>(Prices!E90/Prices!E89)-1</f>
        <v>7.0833473875939745E-3</v>
      </c>
      <c r="F1170">
        <f>(Prices!F90/Prices!F89)-1</f>
        <v>1.330866861928981E-2</v>
      </c>
      <c r="G1170">
        <f t="shared" si="72"/>
        <v>-7.4961648809149135E-3</v>
      </c>
      <c r="H1170" s="8">
        <f t="shared" si="75"/>
        <v>560004.04217184067</v>
      </c>
      <c r="I1170" s="8">
        <f t="shared" si="73"/>
        <v>1067100.1647020529</v>
      </c>
      <c r="J1170" s="13">
        <f t="shared" si="74"/>
        <v>-0.47520948764149007</v>
      </c>
    </row>
    <row r="1171" spans="1:10" x14ac:dyDescent="0.25">
      <c r="A1171" s="6">
        <v>46160</v>
      </c>
      <c r="B1171">
        <f>(Prices!B89/Prices!B88)-1</f>
        <v>-4.0358178837174297E-4</v>
      </c>
      <c r="C1171">
        <f>(Prices!C89/Prices!C88)-1</f>
        <v>-3.8167034113267828E-3</v>
      </c>
      <c r="D1171">
        <f>(Prices!D89/Prices!D88)-1</f>
        <v>-1.6054182867176747E-2</v>
      </c>
      <c r="E1171">
        <f>(Prices!E89/Prices!E88)-1</f>
        <v>-9.7200881822432361E-3</v>
      </c>
      <c r="F1171">
        <f>(Prices!F89/Prices!F88)-1</f>
        <v>6.959356324218291E-3</v>
      </c>
      <c r="G1171">
        <f t="shared" si="72"/>
        <v>-4.6070399849800431E-3</v>
      </c>
      <c r="H1171" s="8">
        <f t="shared" si="75"/>
        <v>557424.08115780458</v>
      </c>
      <c r="I1171" s="8">
        <f t="shared" si="73"/>
        <v>1067100.1647020529</v>
      </c>
      <c r="J1171" s="13">
        <f t="shared" si="74"/>
        <v>-0.47762721851566386</v>
      </c>
    </row>
    <row r="1172" spans="1:10" x14ac:dyDescent="0.25">
      <c r="A1172" s="5">
        <v>46161</v>
      </c>
      <c r="B1172">
        <f>(Prices!B88/Prices!B87)-1</f>
        <v>2.3942352394235256E-2</v>
      </c>
      <c r="C1172">
        <f>(Prices!C88/Prices!C87)-1</f>
        <v>1.4648578438447135E-2</v>
      </c>
      <c r="D1172">
        <f>(Prices!D88/Prices!D87)-1</f>
        <v>-1.2631578947368327E-2</v>
      </c>
      <c r="E1172">
        <f>(Prices!E88/Prices!E87)-1</f>
        <v>1.7019397357067589E-2</v>
      </c>
      <c r="F1172">
        <f>(Prices!F88/Prices!F87)-1</f>
        <v>4.8614360734153816E-3</v>
      </c>
      <c r="G1172">
        <f t="shared" si="72"/>
        <v>9.5680370631594062E-3</v>
      </c>
      <c r="H1172" s="8">
        <f t="shared" si="75"/>
        <v>562757.53542622004</v>
      </c>
      <c r="I1172" s="8">
        <f t="shared" si="73"/>
        <v>1067100.1647020529</v>
      </c>
      <c r="J1172" s="13">
        <f t="shared" si="74"/>
        <v>-0.47262913638163606</v>
      </c>
    </row>
    <row r="1173" spans="1:10" x14ac:dyDescent="0.25">
      <c r="A1173" s="6">
        <v>46162</v>
      </c>
      <c r="B1173">
        <f>(Prices!B87/Prices!B86)-1</f>
        <v>-3.2180830522874349E-3</v>
      </c>
      <c r="C1173">
        <f>(Prices!C87/Prices!C86)-1</f>
        <v>-8.6322014498283473E-3</v>
      </c>
      <c r="D1173">
        <f>(Prices!D87/Prices!D86)-1</f>
        <v>4.0123655567720684E-2</v>
      </c>
      <c r="E1173">
        <f>(Prices!E87/Prices!E86)-1</f>
        <v>-2.0822938495825394E-2</v>
      </c>
      <c r="F1173">
        <f>(Prices!F87/Prices!F86)-1</f>
        <v>1.5496713218406066E-2</v>
      </c>
      <c r="G1173">
        <f t="shared" si="72"/>
        <v>4.5894291576371159E-3</v>
      </c>
      <c r="H1173" s="8">
        <f t="shared" si="75"/>
        <v>565340.27126798511</v>
      </c>
      <c r="I1173" s="8">
        <f t="shared" si="73"/>
        <v>1067100.1647020529</v>
      </c>
      <c r="J1173" s="13">
        <f t="shared" si="74"/>
        <v>-0.47020880516325775</v>
      </c>
    </row>
    <row r="1174" spans="1:10" x14ac:dyDescent="0.25">
      <c r="A1174" s="5">
        <v>46163</v>
      </c>
      <c r="B1174">
        <f>(Prices!B86/Prices!B85)-1</f>
        <v>3.2284725450695273E-3</v>
      </c>
      <c r="C1174">
        <f>(Prices!C86/Prices!C85)-1</f>
        <v>2.5340664594788453E-3</v>
      </c>
      <c r="D1174">
        <f>(Prices!D86/Prices!D85)-1</f>
        <v>6.3516754164236744E-3</v>
      </c>
      <c r="E1174">
        <f>(Prices!E86/Prices!E85)-1</f>
        <v>-3.34836228616886E-3</v>
      </c>
      <c r="F1174">
        <f>(Prices!F86/Prices!F85)-1</f>
        <v>2.1429705275410882E-3</v>
      </c>
      <c r="G1174">
        <f t="shared" si="72"/>
        <v>2.1817645324688551E-3</v>
      </c>
      <c r="H1174" s="8">
        <f t="shared" si="75"/>
        <v>566573.71062061389</v>
      </c>
      <c r="I1174" s="8">
        <f t="shared" si="73"/>
        <v>1067100.1647020529</v>
      </c>
      <c r="J1174" s="13">
        <f t="shared" si="74"/>
        <v>-0.46905292552474864</v>
      </c>
    </row>
    <row r="1175" spans="1:10" x14ac:dyDescent="0.25">
      <c r="A1175" s="6">
        <v>46164</v>
      </c>
      <c r="B1175">
        <f>(Prices!B85/Prices!B84)-1</f>
        <v>1.2235294117647122E-2</v>
      </c>
      <c r="C1175">
        <f>(Prices!C85/Prices!C84)-1</f>
        <v>1.2446742304563774E-3</v>
      </c>
      <c r="D1175">
        <f>(Prices!D85/Prices!D84)-1</f>
        <v>2.4038461538462563E-3</v>
      </c>
      <c r="E1175">
        <f>(Prices!E85/Prices!E84)-1</f>
        <v>-1.104881807153868E-2</v>
      </c>
      <c r="F1175">
        <f>(Prices!F85/Prices!F84)-1</f>
        <v>-1.5420682469392988E-2</v>
      </c>
      <c r="G1175">
        <f t="shared" si="72"/>
        <v>-2.1171372077963828E-3</v>
      </c>
      <c r="H1175" s="8">
        <f t="shared" si="75"/>
        <v>565374.19633689977</v>
      </c>
      <c r="I1175" s="8">
        <f t="shared" si="73"/>
        <v>1067100.1647020529</v>
      </c>
      <c r="J1175" s="13">
        <f t="shared" si="74"/>
        <v>-0.47017701333149081</v>
      </c>
    </row>
    <row r="1176" spans="1:10" x14ac:dyDescent="0.25">
      <c r="A1176" s="5">
        <v>46168</v>
      </c>
      <c r="B1176">
        <f>(Prices!B84/Prices!B83)-1</f>
        <v>-1.519052523171982E-2</v>
      </c>
      <c r="C1176">
        <f>(Prices!C84/Prices!C83)-1</f>
        <v>6.092715231788004E-3</v>
      </c>
      <c r="D1176">
        <f>(Prices!D84/Prices!D83)-1</f>
        <v>3.4061135371179052E-2</v>
      </c>
      <c r="E1176">
        <f>(Prices!E84/Prices!E83)-1</f>
        <v>-1.1461881058423273E-3</v>
      </c>
      <c r="F1176">
        <f>(Prices!F84/Prices!F83)-1</f>
        <v>3.0797733802325089E-2</v>
      </c>
      <c r="G1176">
        <f t="shared" si="72"/>
        <v>1.0922974213545999E-2</v>
      </c>
      <c r="H1176" s="8">
        <f t="shared" si="75"/>
        <v>571549.76410449203</v>
      </c>
      <c r="I1176" s="8">
        <f t="shared" si="73"/>
        <v>1067100.1647020529</v>
      </c>
      <c r="J1176" s="13">
        <f t="shared" si="74"/>
        <v>-0.46438977051036673</v>
      </c>
    </row>
    <row r="1177" spans="1:10" x14ac:dyDescent="0.25">
      <c r="A1177" s="6">
        <v>46169</v>
      </c>
      <c r="B1177">
        <f>(Prices!B83/Prices!B82)-1</f>
        <v>1.2874983906252524E-4</v>
      </c>
      <c r="C1177">
        <f>(Prices!C83/Prices!C82)-1</f>
        <v>8.1575177838744128E-3</v>
      </c>
      <c r="D1177">
        <f>(Prices!D83/Prices!D82)-1</f>
        <v>1.2929567880231474E-2</v>
      </c>
      <c r="E1177">
        <f>(Prices!E83/Prices!E82)-1</f>
        <v>2.490434315634027E-2</v>
      </c>
      <c r="F1177">
        <f>(Prices!F83/Prices!F82)-1</f>
        <v>-1.8603915781707059E-2</v>
      </c>
      <c r="G1177">
        <f t="shared" si="72"/>
        <v>5.5032525755603252E-3</v>
      </c>
      <c r="H1177" s="8">
        <f t="shared" si="75"/>
        <v>574695.14681586099</v>
      </c>
      <c r="I1177" s="8">
        <f t="shared" si="73"/>
        <v>1067100.1647020529</v>
      </c>
      <c r="J1177" s="13">
        <f t="shared" si="74"/>
        <v>-0.46144217213543143</v>
      </c>
    </row>
    <row r="1178" spans="1:10" x14ac:dyDescent="0.25">
      <c r="A1178" s="5">
        <v>46170</v>
      </c>
      <c r="B1178">
        <f>(Prices!B82/Prices!B81)-1</f>
        <v>-3.3363274733734238E-3</v>
      </c>
      <c r="C1178">
        <f>(Prices!C82/Prices!C81)-1</f>
        <v>-3.3553110115206897E-2</v>
      </c>
      <c r="D1178">
        <f>(Prices!D82/Prices!D81)-1</f>
        <v>6.4379152112867821E-3</v>
      </c>
      <c r="E1178">
        <f>(Prices!E82/Prices!E81)-1</f>
        <v>8.598510494245204E-3</v>
      </c>
      <c r="F1178">
        <f>(Prices!F82/Prices!F81)-1</f>
        <v>3.8621273443908422E-3</v>
      </c>
      <c r="G1178">
        <f t="shared" si="72"/>
        <v>-3.5981769077314991E-3</v>
      </c>
      <c r="H1178" s="8">
        <f t="shared" si="75"/>
        <v>572627.29200960277</v>
      </c>
      <c r="I1178" s="8">
        <f t="shared" si="73"/>
        <v>1067100.1647020529</v>
      </c>
      <c r="J1178" s="13">
        <f t="shared" si="74"/>
        <v>-0.46337999847513178</v>
      </c>
    </row>
    <row r="1179" spans="1:10" x14ac:dyDescent="0.25">
      <c r="A1179" s="6">
        <v>46171</v>
      </c>
      <c r="B1179">
        <f>(Prices!B81/Prices!B80)-1</f>
        <v>2.5745649827572548E-2</v>
      </c>
      <c r="C1179">
        <f>(Prices!C81/Prices!C80)-1</f>
        <v>-5.1625536838825981E-2</v>
      </c>
      <c r="D1179">
        <f>(Prices!D81/Prices!D80)-1</f>
        <v>1.1639991685720164E-2</v>
      </c>
      <c r="E1179">
        <f>(Prices!E81/Prices!E80)-1</f>
        <v>-8.6250293653725718E-3</v>
      </c>
      <c r="F1179">
        <f>(Prices!F81/Prices!F80)-1</f>
        <v>5.8269476372925233E-3</v>
      </c>
      <c r="G1179">
        <f t="shared" si="72"/>
        <v>-3.4075954107226636E-3</v>
      </c>
      <c r="H1179" s="8">
        <f t="shared" si="75"/>
        <v>570676.00987729628</v>
      </c>
      <c r="I1179" s="8">
        <f t="shared" si="73"/>
        <v>1067100.1647020529</v>
      </c>
      <c r="J1179" s="13">
        <f t="shared" si="74"/>
        <v>-0.46520858232962992</v>
      </c>
    </row>
    <row r="1180" spans="1:10" x14ac:dyDescent="0.25">
      <c r="A1180" s="5">
        <v>46174</v>
      </c>
      <c r="B1180">
        <f>(Prices!B80/Prices!B79)-1</f>
        <v>1.056131949986705E-2</v>
      </c>
      <c r="C1180">
        <f>(Prices!C80/Prices!C79)-1</f>
        <v>-2.2321331447840764E-2</v>
      </c>
      <c r="D1180">
        <f>(Prices!D80/Prices!D79)-1</f>
        <v>-2.7556933027893638E-2</v>
      </c>
      <c r="E1180">
        <f>(Prices!E80/Prices!E79)-1</f>
        <v>9.2125317527520512E-3</v>
      </c>
      <c r="F1180">
        <f>(Prices!F80/Prices!F79)-1</f>
        <v>1.1987532965715975E-3</v>
      </c>
      <c r="G1180">
        <f t="shared" si="72"/>
        <v>-5.7811319853087401E-3</v>
      </c>
      <c r="H1180" s="8">
        <f t="shared" si="75"/>
        <v>567376.85654334631</v>
      </c>
      <c r="I1180" s="8">
        <f t="shared" si="73"/>
        <v>1067100.1647020529</v>
      </c>
      <c r="J1180" s="13">
        <f t="shared" si="74"/>
        <v>-0.46830028209979269</v>
      </c>
    </row>
    <row r="1181" spans="1:10" x14ac:dyDescent="0.25">
      <c r="A1181" s="6">
        <v>46175</v>
      </c>
      <c r="B1181">
        <f>(Prices!B79/Prices!B78)-1</f>
        <v>4.0121748754842201E-2</v>
      </c>
      <c r="C1181">
        <f>(Prices!C79/Prices!C78)-1</f>
        <v>4.3520704685797273E-2</v>
      </c>
      <c r="D1181">
        <f>(Prices!D79/Prices!D78)-1</f>
        <v>-1.2113055181696142E-3</v>
      </c>
      <c r="E1181">
        <f>(Prices!E79/Prices!E78)-1</f>
        <v>-1.4552251259971394E-2</v>
      </c>
      <c r="F1181">
        <f>(Prices!F79/Prices!F78)-1</f>
        <v>5.1409751787290237E-3</v>
      </c>
      <c r="G1181">
        <f t="shared" si="72"/>
        <v>1.4603974368245499E-2</v>
      </c>
      <c r="H1181" s="8">
        <f t="shared" si="75"/>
        <v>575662.81361344107</v>
      </c>
      <c r="I1181" s="8">
        <f t="shared" si="73"/>
        <v>1067100.1647020529</v>
      </c>
      <c r="J1181" s="13">
        <f t="shared" si="74"/>
        <v>-0.46053535304797466</v>
      </c>
    </row>
    <row r="1182" spans="1:10" x14ac:dyDescent="0.25">
      <c r="A1182" s="5">
        <v>46176</v>
      </c>
      <c r="B1182">
        <f>(Prices!B78/Prices!B77)-1</f>
        <v>7.9486821921628259E-3</v>
      </c>
      <c r="C1182">
        <f>(Prices!C78/Prices!C77)-1</f>
        <v>3.2681577343273815E-2</v>
      </c>
      <c r="D1182">
        <f>(Prices!D78/Prices!D77)-1</f>
        <v>-1.9465522929726253E-2</v>
      </c>
      <c r="E1182">
        <f>(Prices!E78/Prices!E77)-1</f>
        <v>3.6727879799669516E-4</v>
      </c>
      <c r="F1182">
        <f>(Prices!F78/Prices!F77)-1</f>
        <v>2.4425595877175521E-3</v>
      </c>
      <c r="G1182">
        <f t="shared" si="72"/>
        <v>4.7949149982849286E-3</v>
      </c>
      <c r="H1182" s="8">
        <f t="shared" si="75"/>
        <v>578423.06787239108</v>
      </c>
      <c r="I1182" s="8">
        <f t="shared" si="73"/>
        <v>1067100.1647020529</v>
      </c>
      <c r="J1182" s="13">
        <f t="shared" si="74"/>
        <v>-0.45794866592125988</v>
      </c>
    </row>
    <row r="1183" spans="1:10" x14ac:dyDescent="0.25">
      <c r="A1183" s="6">
        <v>46177</v>
      </c>
      <c r="B1183">
        <f>(Prices!B77/Prices!B76)-1</f>
        <v>-3.5455841605466332E-2</v>
      </c>
      <c r="C1183">
        <f>(Prices!C77/Prices!C76)-1</f>
        <v>-1.6617905207723105E-3</v>
      </c>
      <c r="D1183">
        <f>(Prices!D77/Prices!D76)-1</f>
        <v>3.2437442075996525E-3</v>
      </c>
      <c r="E1183">
        <f>(Prices!E77/Prices!E76)-1</f>
        <v>-3.2310177705977328E-2</v>
      </c>
      <c r="F1183">
        <f>(Prices!F77/Prices!F76)-1</f>
        <v>-4.9130956330874609E-2</v>
      </c>
      <c r="G1183">
        <f t="shared" si="72"/>
        <v>-2.3063004391098187E-2</v>
      </c>
      <c r="H1183" s="8">
        <f t="shared" si="75"/>
        <v>565082.89411813766</v>
      </c>
      <c r="I1183" s="8">
        <f t="shared" si="73"/>
        <v>1067100.1647020529</v>
      </c>
      <c r="J1183" s="13">
        <f t="shared" si="74"/>
        <v>-0.47044999821931849</v>
      </c>
    </row>
    <row r="1184" spans="1:10" x14ac:dyDescent="0.25">
      <c r="A1184" s="5">
        <v>46178</v>
      </c>
      <c r="B1184">
        <f>(Prices!B76/Prices!B75)-1</f>
        <v>9.9437606976935378E-3</v>
      </c>
      <c r="C1184">
        <f>(Prices!C76/Prices!C75)-1</f>
        <v>2.7314915001563023E-2</v>
      </c>
      <c r="D1184">
        <f>(Prices!D76/Prices!D75)-1</f>
        <v>1.4097744360902276E-2</v>
      </c>
      <c r="E1184">
        <f>(Prices!E76/Prices!E75)-1</f>
        <v>-4.7271440975014123E-3</v>
      </c>
      <c r="F1184">
        <f>(Prices!F76/Prices!F75)-1</f>
        <v>-7.4980368315727963E-3</v>
      </c>
      <c r="G1184">
        <f t="shared" si="72"/>
        <v>7.8262478262169262E-3</v>
      </c>
      <c r="H1184" s="8">
        <f t="shared" si="75"/>
        <v>569505.37288986216</v>
      </c>
      <c r="I1184" s="8">
        <f t="shared" si="73"/>
        <v>1067100.1647020529</v>
      </c>
      <c r="J1184" s="13">
        <f t="shared" si="74"/>
        <v>-0.46630560866900922</v>
      </c>
    </row>
    <row r="1185" spans="1:10" x14ac:dyDescent="0.25">
      <c r="A1185" s="6">
        <v>46181</v>
      </c>
      <c r="B1185">
        <f>(Prices!B75/Prices!B74)-1</f>
        <v>1.3743527597223748E-2</v>
      </c>
      <c r="C1185">
        <f>(Prices!C75/Prices!C74)-1</f>
        <v>1.1971676764727324E-2</v>
      </c>
      <c r="D1185">
        <f>(Prices!D75/Prices!D74)-1</f>
        <v>-1.2005040790608268E-2</v>
      </c>
      <c r="E1185">
        <f>(Prices!E75/Prices!E74)-1</f>
        <v>4.0683219786252778E-3</v>
      </c>
      <c r="F1185">
        <f>(Prices!F75/Prices!F74)-1</f>
        <v>-1.7471813633987976E-2</v>
      </c>
      <c r="G1185">
        <f t="shared" si="72"/>
        <v>6.1334383196021917E-5</v>
      </c>
      <c r="H1185" s="8">
        <f t="shared" si="75"/>
        <v>569540.30315063521</v>
      </c>
      <c r="I1185" s="8">
        <f t="shared" si="73"/>
        <v>1067100.1647020529</v>
      </c>
      <c r="J1185" s="13">
        <f t="shared" si="74"/>
        <v>-0.46627287485270175</v>
      </c>
    </row>
    <row r="1186" spans="1:10" x14ac:dyDescent="0.25">
      <c r="A1186" s="5">
        <v>46182</v>
      </c>
      <c r="B1186">
        <f>(Prices!B74/Prices!B73)-1</f>
        <v>-2.6096750267834423E-3</v>
      </c>
      <c r="C1186">
        <f>(Prices!C74/Prices!C73)-1</f>
        <v>2.0663106916677165E-2</v>
      </c>
      <c r="D1186">
        <f>(Prices!D74/Prices!D73)-1</f>
        <v>1.9060493409935875E-2</v>
      </c>
      <c r="E1186">
        <f>(Prices!E74/Prices!E73)-1</f>
        <v>-5.107613234821784E-3</v>
      </c>
      <c r="F1186">
        <f>(Prices!F74/Prices!F73)-1</f>
        <v>-1.5558386828049109E-2</v>
      </c>
      <c r="G1186">
        <f t="shared" si="72"/>
        <v>3.289585047391741E-3</v>
      </c>
      <c r="H1186" s="8">
        <f t="shared" si="75"/>
        <v>571413.85441576655</v>
      </c>
      <c r="I1186" s="8">
        <f t="shared" si="73"/>
        <v>1067100.1647020529</v>
      </c>
      <c r="J1186" s="13">
        <f t="shared" si="74"/>
        <v>-0.46451713408242973</v>
      </c>
    </row>
    <row r="1187" spans="1:10" x14ac:dyDescent="0.25">
      <c r="A1187" s="6">
        <v>46183</v>
      </c>
      <c r="B1187">
        <f>(Prices!B73/Prices!B72)-1</f>
        <v>2.2125508914783154E-2</v>
      </c>
      <c r="C1187">
        <f>(Prices!C73/Prices!C72)-1</f>
        <v>1.5229066337207664E-2</v>
      </c>
      <c r="D1187">
        <f>(Prices!D73/Prices!D72)-1</f>
        <v>-1.1359839625793677E-2</v>
      </c>
      <c r="E1187">
        <f>(Prices!E73/Prices!E72)-1</f>
        <v>1.1535337124289224E-2</v>
      </c>
      <c r="F1187">
        <f>(Prices!F73/Prices!F72)-1</f>
        <v>1.3584324633074241E-2</v>
      </c>
      <c r="G1187">
        <f t="shared" si="72"/>
        <v>1.0222879476712122E-2</v>
      </c>
      <c r="H1187" s="8">
        <f t="shared" si="75"/>
        <v>577255.34938078246</v>
      </c>
      <c r="I1187" s="8">
        <f t="shared" si="73"/>
        <v>1067100.1647020529</v>
      </c>
      <c r="J1187" s="13">
        <f t="shared" si="74"/>
        <v>-0.45904295728231004</v>
      </c>
    </row>
    <row r="1188" spans="1:10" x14ac:dyDescent="0.25">
      <c r="A1188" s="5">
        <v>46184</v>
      </c>
      <c r="B1188">
        <f>(Prices!B72/Prices!B71)-1</f>
        <v>-3.8876769032836211E-3</v>
      </c>
      <c r="C1188">
        <f>(Prices!C72/Prices!C71)-1</f>
        <v>1.7966684633351271E-2</v>
      </c>
      <c r="D1188">
        <f>(Prices!D72/Prices!D71)-1</f>
        <v>2.7392558011808399E-2</v>
      </c>
      <c r="E1188">
        <f>(Prices!E72/Prices!E71)-1</f>
        <v>-1.3874647526275319E-2</v>
      </c>
      <c r="F1188">
        <f>(Prices!F72/Prices!F71)-1</f>
        <v>4.7158041818455843E-3</v>
      </c>
      <c r="G1188">
        <f t="shared" si="72"/>
        <v>6.4625444794892614E-3</v>
      </c>
      <c r="H1188" s="8">
        <f t="shared" si="75"/>
        <v>580985.88775217882</v>
      </c>
      <c r="I1188" s="8">
        <f t="shared" si="73"/>
        <v>1067100.1647020529</v>
      </c>
      <c r="J1188" s="13">
        <f t="shared" si="74"/>
        <v>-0.45554699833225404</v>
      </c>
    </row>
    <row r="1189" spans="1:10" x14ac:dyDescent="0.25">
      <c r="A1189" s="6">
        <v>46185</v>
      </c>
      <c r="B1189">
        <f>(Prices!B71/Prices!B70)-1</f>
        <v>-5.3136736681039798E-3</v>
      </c>
      <c r="C1189">
        <f>(Prices!C71/Prices!C70)-1</f>
        <v>-1.025614727827473E-3</v>
      </c>
      <c r="D1189">
        <f>(Prices!D71/Prices!D70)-1</f>
        <v>-2.7386005751061093E-3</v>
      </c>
      <c r="E1189">
        <f>(Prices!E71/Prices!E70)-1</f>
        <v>-2.2550739163117006E-2</v>
      </c>
      <c r="F1189">
        <f>(Prices!F71/Prices!F70)-1</f>
        <v>-7.257684971885725E-3</v>
      </c>
      <c r="G1189">
        <f t="shared" si="72"/>
        <v>-7.777262621208059E-3</v>
      </c>
      <c r="H1189" s="8">
        <f t="shared" si="75"/>
        <v>576467.40792391449</v>
      </c>
      <c r="I1189" s="8">
        <f t="shared" si="73"/>
        <v>1067100.1647020529</v>
      </c>
      <c r="J1189" s="13">
        <f t="shared" si="74"/>
        <v>-0.45978135231112904</v>
      </c>
    </row>
    <row r="1190" spans="1:10" x14ac:dyDescent="0.25">
      <c r="A1190" s="5">
        <v>46188</v>
      </c>
      <c r="B1190">
        <f>(Prices!B70/Prices!B69)-1</f>
        <v>-2.6171060117580192E-2</v>
      </c>
      <c r="C1190">
        <f>(Prices!C70/Prices!C69)-1</f>
        <v>-2.255582566852965E-2</v>
      </c>
      <c r="D1190">
        <f>(Prices!D70/Prices!D69)-1</f>
        <v>4.3211199200057226E-2</v>
      </c>
      <c r="E1190">
        <f>(Prices!E70/Prices!E69)-1</f>
        <v>4.1198855237913889E-3</v>
      </c>
      <c r="F1190">
        <f>(Prices!F70/Prices!F69)-1</f>
        <v>-1.1774209341035902E-2</v>
      </c>
      <c r="G1190">
        <f t="shared" si="72"/>
        <v>-2.6340020806594252E-3</v>
      </c>
      <c r="H1190" s="8">
        <f t="shared" si="75"/>
        <v>574948.99157201056</v>
      </c>
      <c r="I1190" s="8">
        <f t="shared" si="73"/>
        <v>1067100.1647020529</v>
      </c>
      <c r="J1190" s="13">
        <f t="shared" si="74"/>
        <v>-0.46120428935315255</v>
      </c>
    </row>
    <row r="1191" spans="1:10" x14ac:dyDescent="0.25">
      <c r="A1191" s="6">
        <v>46189</v>
      </c>
      <c r="B1191">
        <f>(Prices!B69/Prices!B68)-1</f>
        <v>-1.0455483767191187E-2</v>
      </c>
      <c r="C1191">
        <f>(Prices!C69/Prices!C68)-1</f>
        <v>1.5060164338955406E-2</v>
      </c>
      <c r="D1191">
        <f>(Prices!D69/Prices!D68)-1</f>
        <v>-6.6690315714792447E-3</v>
      </c>
      <c r="E1191">
        <f>(Prices!E69/Prices!E68)-1</f>
        <v>-3.5431518276960228E-2</v>
      </c>
      <c r="F1191">
        <f>(Prices!F69/Prices!F68)-1</f>
        <v>8.2930200414650379E-3</v>
      </c>
      <c r="G1191">
        <f t="shared" si="72"/>
        <v>-5.8405698470420427E-3</v>
      </c>
      <c r="H1191" s="8">
        <f t="shared" si="75"/>
        <v>571590.96182824788</v>
      </c>
      <c r="I1191" s="8">
        <f t="shared" si="73"/>
        <v>1067100.1647020529</v>
      </c>
      <c r="J1191" s="13">
        <f t="shared" si="74"/>
        <v>-0.46435116333447213</v>
      </c>
    </row>
    <row r="1192" spans="1:10" x14ac:dyDescent="0.25">
      <c r="A1192" s="5">
        <v>46190</v>
      </c>
      <c r="B1192">
        <f>(Prices!B68/Prices!B67)-1</f>
        <v>2.5992958521289466E-2</v>
      </c>
      <c r="C1192">
        <f>(Prices!C68/Prices!C67)-1</f>
        <v>3.9370703331570667E-2</v>
      </c>
      <c r="D1192">
        <f>(Prices!D68/Prices!D67)-1</f>
        <v>8.0097260959735017E-3</v>
      </c>
      <c r="E1192">
        <f>(Prices!E68/Prices!E67)-1</f>
        <v>-6.9586697192433045E-3</v>
      </c>
      <c r="F1192">
        <f>(Prices!F68/Prices!F67)-1</f>
        <v>2.0348544373929744E-2</v>
      </c>
      <c r="G1192">
        <f t="shared" si="72"/>
        <v>1.7352652520704018E-2</v>
      </c>
      <c r="H1192" s="8">
        <f t="shared" si="75"/>
        <v>581509.58117282845</v>
      </c>
      <c r="I1192" s="8">
        <f t="shared" si="73"/>
        <v>1067100.1647020529</v>
      </c>
      <c r="J1192" s="13">
        <f t="shared" si="74"/>
        <v>-0.45505623519869587</v>
      </c>
    </row>
    <row r="1193" spans="1:10" x14ac:dyDescent="0.25">
      <c r="A1193" s="6">
        <v>46191</v>
      </c>
      <c r="B1193">
        <f>(Prices!B67/Prices!B66)-1</f>
        <v>-1.1501128361293134E-2</v>
      </c>
      <c r="C1193">
        <f>(Prices!C67/Prices!C66)-1</f>
        <v>-1.2939343526366942E-3</v>
      </c>
      <c r="D1193">
        <f>(Prices!D67/Prices!D66)-1</f>
        <v>2.1253286590710019E-2</v>
      </c>
      <c r="E1193">
        <f>(Prices!E67/Prices!E66)-1</f>
        <v>2.5327403014578698E-2</v>
      </c>
      <c r="F1193">
        <f>(Prices!F67/Prices!F66)-1</f>
        <v>-3.5883666658302893E-3</v>
      </c>
      <c r="G1193">
        <f t="shared" si="72"/>
        <v>6.0394520451057202E-3</v>
      </c>
      <c r="H1193" s="8">
        <f t="shared" si="75"/>
        <v>585021.58040209126</v>
      </c>
      <c r="I1193" s="8">
        <f t="shared" si="73"/>
        <v>1067100.1647020529</v>
      </c>
      <c r="J1193" s="13">
        <f t="shared" si="74"/>
        <v>-0.45176507346389899</v>
      </c>
    </row>
    <row r="1194" spans="1:10" x14ac:dyDescent="0.25">
      <c r="A1194" s="5">
        <v>46195</v>
      </c>
      <c r="B1194">
        <f>(Prices!B66/Prices!B65)-1</f>
        <v>5.245235506209589E-2</v>
      </c>
      <c r="C1194">
        <f>(Prices!C66/Prices!C65)-1</f>
        <v>3.2837856266193954E-2</v>
      </c>
      <c r="D1194">
        <f>(Prices!D66/Prices!D65)-1</f>
        <v>-4.7972088966421467E-3</v>
      </c>
      <c r="E1194">
        <f>(Prices!E66/Prices!E65)-1</f>
        <v>-1.8879359980605526E-2</v>
      </c>
      <c r="F1194">
        <f>(Prices!F66/Prices!F65)-1</f>
        <v>-1.4052796951928515E-2</v>
      </c>
      <c r="G1194">
        <f t="shared" si="72"/>
        <v>9.5121690998227308E-3</v>
      </c>
      <c r="H1194" s="8">
        <f t="shared" si="75"/>
        <v>590586.40460192156</v>
      </c>
      <c r="I1194" s="8">
        <f t="shared" si="73"/>
        <v>1067100.1647020529</v>
      </c>
      <c r="J1194" s="13">
        <f t="shared" si="74"/>
        <v>-0.44655017013625864</v>
      </c>
    </row>
    <row r="1195" spans="1:10" x14ac:dyDescent="0.25">
      <c r="A1195" s="6">
        <v>46196</v>
      </c>
      <c r="B1195">
        <f>(Prices!B65/Prices!B64)-1</f>
        <v>1.0262785117515882E-2</v>
      </c>
      <c r="C1195">
        <f>(Prices!C65/Prices!C64)-1</f>
        <v>-1.7656199764226832E-2</v>
      </c>
      <c r="D1195">
        <f>(Prices!D65/Prices!D64)-1</f>
        <v>-9.0038176186703067E-3</v>
      </c>
      <c r="E1195">
        <f>(Prices!E65/Prices!E64)-1</f>
        <v>-7.9665704665703441E-3</v>
      </c>
      <c r="F1195">
        <f>(Prices!F65/Prices!F64)-1</f>
        <v>-6.293792255685271E-3</v>
      </c>
      <c r="G1195">
        <f t="shared" si="72"/>
        <v>-6.1315189975273748E-3</v>
      </c>
      <c r="H1195" s="8">
        <f t="shared" si="75"/>
        <v>586965.21284242347</v>
      </c>
      <c r="I1195" s="8">
        <f t="shared" si="73"/>
        <v>1067100.1647020529</v>
      </c>
      <c r="J1195" s="13">
        <f t="shared" si="74"/>
        <v>-0.44994365828224653</v>
      </c>
    </row>
    <row r="1196" spans="1:10" x14ac:dyDescent="0.25">
      <c r="A1196" s="5">
        <v>46197</v>
      </c>
      <c r="B1196">
        <f>(Prices!B64/Prices!B63)-1</f>
        <v>2.4342886950474707E-3</v>
      </c>
      <c r="C1196">
        <f>(Prices!C64/Prices!C63)-1</f>
        <v>2.3220111303012825E-2</v>
      </c>
      <c r="D1196">
        <f>(Prices!D64/Prices!D63)-1</f>
        <v>2.0658726657844406E-2</v>
      </c>
      <c r="E1196">
        <f>(Prices!E64/Prices!E63)-1</f>
        <v>2.0786262991414617E-3</v>
      </c>
      <c r="F1196">
        <f>(Prices!F64/Prices!F63)-1</f>
        <v>8.5044133690370671E-3</v>
      </c>
      <c r="G1196">
        <f t="shared" si="72"/>
        <v>1.1379233264816647E-2</v>
      </c>
      <c r="H1196" s="8">
        <f t="shared" si="75"/>
        <v>593644.42691769009</v>
      </c>
      <c r="I1196" s="8">
        <f t="shared" si="73"/>
        <v>1067100.1647020529</v>
      </c>
      <c r="J1196" s="13">
        <f t="shared" si="74"/>
        <v>-0.44368443886104858</v>
      </c>
    </row>
    <row r="1197" spans="1:10" x14ac:dyDescent="0.25">
      <c r="A1197" s="6">
        <v>46198</v>
      </c>
      <c r="B1197">
        <f>(Prices!B63/Prices!B62)-1</f>
        <v>4.5998427901829952E-3</v>
      </c>
      <c r="C1197">
        <f>(Prices!C63/Prices!C62)-1</f>
        <v>3.5778175313059046E-2</v>
      </c>
      <c r="D1197">
        <f>(Prices!D63/Prices!D62)-1</f>
        <v>-4.7559815614252043E-3</v>
      </c>
      <c r="E1197">
        <f>(Prices!E63/Prices!E62)-1</f>
        <v>-5.0056951022121599E-3</v>
      </c>
      <c r="F1197">
        <f>(Prices!F63/Prices!F62)-1</f>
        <v>-2.3414610523257218E-2</v>
      </c>
      <c r="G1197">
        <f t="shared" si="72"/>
        <v>1.4403461832694911E-3</v>
      </c>
      <c r="H1197" s="8">
        <f t="shared" si="75"/>
        <v>594499.48040222016</v>
      </c>
      <c r="I1197" s="8">
        <f t="shared" si="73"/>
        <v>1067100.1647020529</v>
      </c>
      <c r="J1197" s="13">
        <f t="shared" si="74"/>
        <v>-0.44288315186586868</v>
      </c>
    </row>
    <row r="1198" spans="1:10" x14ac:dyDescent="0.25">
      <c r="A1198" s="5">
        <v>46199</v>
      </c>
      <c r="B1198">
        <f>(Prices!B62/Prices!B61)-1</f>
        <v>1.874425364059662E-2</v>
      </c>
      <c r="C1198">
        <f>(Prices!C62/Prices!C61)-1</f>
        <v>-5.3993069546296901E-2</v>
      </c>
      <c r="D1198">
        <f>(Prices!D62/Prices!D61)-1</f>
        <v>7.445083296476529E-3</v>
      </c>
      <c r="E1198">
        <f>(Prices!E62/Prices!E61)-1</f>
        <v>1.8469334798669079E-2</v>
      </c>
      <c r="F1198">
        <f>(Prices!F62/Prices!F61)-1</f>
        <v>-2.8875773038305019E-2</v>
      </c>
      <c r="G1198">
        <f t="shared" si="72"/>
        <v>-7.6420341697719402E-3</v>
      </c>
      <c r="H1198" s="8">
        <f t="shared" si="75"/>
        <v>589956.29505907476</v>
      </c>
      <c r="I1198" s="8">
        <f t="shared" si="73"/>
        <v>1067100.1647020529</v>
      </c>
      <c r="J1198" s="13">
        <f t="shared" si="74"/>
        <v>-0.44714065785586532</v>
      </c>
    </row>
    <row r="1199" spans="1:10" x14ac:dyDescent="0.25">
      <c r="A1199" s="6">
        <v>46202</v>
      </c>
      <c r="B1199">
        <f>(Prices!B61/Prices!B60)-1</f>
        <v>-4.5979288099145532E-2</v>
      </c>
      <c r="C1199">
        <f>(Prices!C61/Prices!C60)-1</f>
        <v>1.193323909970645E-2</v>
      </c>
      <c r="D1199">
        <f>(Prices!D61/Prices!D60)-1</f>
        <v>3.5508211273855839E-3</v>
      </c>
      <c r="E1199">
        <f>(Prices!E61/Prices!E60)-1</f>
        <v>-1.0368698728310255E-3</v>
      </c>
      <c r="F1199">
        <f>(Prices!F61/Prices!F60)-1</f>
        <v>1.9221090473337199E-2</v>
      </c>
      <c r="G1199">
        <f t="shared" si="72"/>
        <v>-2.4622014543094635E-3</v>
      </c>
      <c r="H1199" s="8">
        <f t="shared" si="75"/>
        <v>588503.70381140127</v>
      </c>
      <c r="I1199" s="8">
        <f t="shared" si="73"/>
        <v>1067100.1647020529</v>
      </c>
      <c r="J1199" s="13">
        <f t="shared" si="74"/>
        <v>-0.44850190893212122</v>
      </c>
    </row>
    <row r="1200" spans="1:10" x14ac:dyDescent="0.25">
      <c r="A1200" s="5">
        <v>46203</v>
      </c>
      <c r="B1200">
        <f>(Prices!B60/Prices!B59)-1</f>
        <v>-1.0416083328666503E-2</v>
      </c>
      <c r="C1200">
        <f>(Prices!C60/Prices!C59)-1</f>
        <v>-1.1925225612376411E-2</v>
      </c>
      <c r="D1200">
        <f>(Prices!D60/Prices!D59)-1</f>
        <v>-4.8586572438161779E-3</v>
      </c>
      <c r="E1200">
        <f>(Prices!E60/Prices!E59)-1</f>
        <v>6.2910452341495837E-3</v>
      </c>
      <c r="F1200">
        <f>(Prices!F60/Prices!F59)-1</f>
        <v>1.0070444697281467E-2</v>
      </c>
      <c r="G1200">
        <f t="shared" si="72"/>
        <v>-2.167695250685608E-3</v>
      </c>
      <c r="H1200" s="8">
        <f t="shared" si="75"/>
        <v>587228.00712763844</v>
      </c>
      <c r="I1200" s="8">
        <f t="shared" si="73"/>
        <v>1067100.1647020529</v>
      </c>
      <c r="J1200" s="13">
        <f t="shared" si="74"/>
        <v>-0.44969738872489118</v>
      </c>
    </row>
    <row r="1201" spans="1:10" x14ac:dyDescent="0.25">
      <c r="A1201" s="6">
        <v>46204</v>
      </c>
      <c r="B1201">
        <f>(Prices!B59/Prices!B58)-1</f>
        <v>-1.0637708460302653E-2</v>
      </c>
      <c r="C1201">
        <f>(Prices!C59/Prices!C58)-1</f>
        <v>-2.9304411304619915E-2</v>
      </c>
      <c r="D1201">
        <f>(Prices!D59/Prices!D58)-1</f>
        <v>3.2496307237814825E-3</v>
      </c>
      <c r="E1201">
        <f>(Prices!E59/Prices!E58)-1</f>
        <v>-2.0176203506028778E-2</v>
      </c>
      <c r="F1201">
        <f>(Prices!F59/Prices!F58)-1</f>
        <v>-2.5570259240912496E-2</v>
      </c>
      <c r="G1201">
        <f t="shared" si="72"/>
        <v>-1.6487790357616473E-2</v>
      </c>
      <c r="H1201" s="8">
        <f t="shared" si="75"/>
        <v>577545.91485399706</v>
      </c>
      <c r="I1201" s="8">
        <f t="shared" si="73"/>
        <v>1067100.1647020529</v>
      </c>
      <c r="J1201" s="13">
        <f t="shared" si="74"/>
        <v>-0.45877066281284407</v>
      </c>
    </row>
    <row r="1202" spans="1:10" x14ac:dyDescent="0.25">
      <c r="A1202" s="5">
        <v>46205</v>
      </c>
      <c r="B1202">
        <f>(Prices!B58/Prices!B57)-1</f>
        <v>3.6143238434163116E-3</v>
      </c>
      <c r="C1202">
        <f>(Prices!C58/Prices!C57)-1</f>
        <v>-1.5907224958949029E-2</v>
      </c>
      <c r="D1202">
        <f>(Prices!D58/Prices!D57)-1</f>
        <v>-5.9466999486087468E-3</v>
      </c>
      <c r="E1202">
        <f>(Prices!E58/Prices!E57)-1</f>
        <v>-1.2013094272758096E-3</v>
      </c>
      <c r="F1202">
        <f>(Prices!F58/Prices!F57)-1</f>
        <v>2.7675276752767708E-3</v>
      </c>
      <c r="G1202">
        <f t="shared" si="72"/>
        <v>-3.3346765632281004E-3</v>
      </c>
      <c r="H1202" s="8">
        <f t="shared" si="75"/>
        <v>575619.9860275453</v>
      </c>
      <c r="I1202" s="8">
        <f t="shared" si="73"/>
        <v>1067100.1647020529</v>
      </c>
      <c r="J1202" s="13">
        <f t="shared" si="74"/>
        <v>-0.46057548759889355</v>
      </c>
    </row>
    <row r="1203" spans="1:10" x14ac:dyDescent="0.25">
      <c r="A1203" s="6">
        <v>46209</v>
      </c>
      <c r="B1203">
        <f>(Prices!B57/Prices!B56)-1</f>
        <v>-1.7858118071104823E-2</v>
      </c>
      <c r="C1203">
        <f>(Prices!C57/Prices!C56)-1</f>
        <v>9.7147742286469718E-3</v>
      </c>
      <c r="D1203">
        <f>(Prices!D57/Prices!D56)-1</f>
        <v>4.7949247565655106E-3</v>
      </c>
      <c r="E1203">
        <f>(Prices!E57/Prices!E56)-1</f>
        <v>-1.4064905839156649E-2</v>
      </c>
      <c r="F1203">
        <f>(Prices!F57/Prices!F56)-1</f>
        <v>1.7644368485665307E-2</v>
      </c>
      <c r="G1203">
        <f t="shared" si="72"/>
        <v>4.6208712123263409E-5</v>
      </c>
      <c r="H1203" s="8">
        <f t="shared" si="75"/>
        <v>575646.58468577208</v>
      </c>
      <c r="I1203" s="8">
        <f t="shared" si="73"/>
        <v>1067100.1647020529</v>
      </c>
      <c r="J1203" s="13">
        <f t="shared" si="74"/>
        <v>-0.46055056148688772</v>
      </c>
    </row>
    <row r="1204" spans="1:10" x14ac:dyDescent="0.25">
      <c r="A1204" s="5">
        <v>46210</v>
      </c>
      <c r="B1204">
        <f>(Prices!B56/Prices!B55)-1</f>
        <v>-1.5540227378063598E-3</v>
      </c>
      <c r="C1204">
        <f>(Prices!C56/Prices!C55)-1</f>
        <v>-5.4108371338023042E-3</v>
      </c>
      <c r="D1204">
        <f>(Prices!D56/Prices!D55)-1</f>
        <v>-3.7079130558317908E-2</v>
      </c>
      <c r="E1204">
        <f>(Prices!E56/Prices!E55)-1</f>
        <v>-4.4219090855491805E-3</v>
      </c>
      <c r="F1204">
        <f>(Prices!F56/Prices!F55)-1</f>
        <v>-2.3826867495359116E-2</v>
      </c>
      <c r="G1204">
        <f t="shared" si="72"/>
        <v>-1.4458553402166974E-2</v>
      </c>
      <c r="H1204" s="8">
        <f t="shared" si="75"/>
        <v>567323.56780031777</v>
      </c>
      <c r="I1204" s="8">
        <f t="shared" si="73"/>
        <v>1067100.1647020529</v>
      </c>
      <c r="J1204" s="13">
        <f t="shared" si="74"/>
        <v>-0.46835022000139859</v>
      </c>
    </row>
    <row r="1205" spans="1:10" x14ac:dyDescent="0.25">
      <c r="A1205" s="6">
        <v>46211</v>
      </c>
      <c r="B1205">
        <f>(Prices!B55/Prices!B54)-1</f>
        <v>1.4100472780558038E-2</v>
      </c>
      <c r="C1205">
        <f>(Prices!C55/Prices!C54)-1</f>
        <v>1.4348439705190508E-2</v>
      </c>
      <c r="D1205">
        <f>(Prices!D55/Prices!D54)-1</f>
        <v>3.9937241477678853E-3</v>
      </c>
      <c r="E1205">
        <f>(Prices!E55/Prices!E54)-1</f>
        <v>2.6011735527191382E-2</v>
      </c>
      <c r="F1205">
        <f>(Prices!F55/Prices!F54)-1</f>
        <v>6.075650118203324E-3</v>
      </c>
      <c r="G1205">
        <f t="shared" si="72"/>
        <v>1.2906004455782227E-2</v>
      </c>
      <c r="H1205" s="8">
        <f t="shared" si="75"/>
        <v>574645.44829421898</v>
      </c>
      <c r="I1205" s="8">
        <f t="shared" si="73"/>
        <v>1067100.1647020529</v>
      </c>
      <c r="J1205" s="13">
        <f t="shared" si="74"/>
        <v>-0.46148874557182096</v>
      </c>
    </row>
    <row r="1206" spans="1:10" x14ac:dyDescent="0.25">
      <c r="A1206" s="5">
        <v>46212</v>
      </c>
      <c r="B1206">
        <f>(Prices!B54/Prices!B53)-1</f>
        <v>8.4481124184463408E-3</v>
      </c>
      <c r="C1206">
        <f>(Prices!C54/Prices!C53)-1</f>
        <v>-2.6587425711603885E-3</v>
      </c>
      <c r="D1206">
        <f>(Prices!D54/Prices!D53)-1</f>
        <v>2.6651047005417983E-2</v>
      </c>
      <c r="E1206">
        <f>(Prices!E54/Prices!E53)-1</f>
        <v>-1.4457328524160151E-2</v>
      </c>
      <c r="F1206">
        <f>(Prices!F54/Prices!F53)-1</f>
        <v>-1.4077941450680642E-2</v>
      </c>
      <c r="G1206">
        <f t="shared" si="72"/>
        <v>7.8102937557262848E-4</v>
      </c>
      <c r="H1206" s="8">
        <f t="shared" si="75"/>
        <v>575094.26326987578</v>
      </c>
      <c r="I1206" s="8">
        <f t="shared" si="73"/>
        <v>1067100.1647020529</v>
      </c>
      <c r="J1206" s="13">
        <f t="shared" si="74"/>
        <v>-0.46106815246303617</v>
      </c>
    </row>
    <row r="1207" spans="1:10" x14ac:dyDescent="0.25">
      <c r="A1207" s="6">
        <v>46213</v>
      </c>
      <c r="B1207">
        <f>(Prices!B53/Prices!B52)-1</f>
        <v>4.7905869169353466E-3</v>
      </c>
      <c r="C1207">
        <f>(Prices!C53/Prices!C52)-1</f>
        <v>-1.9251782090640157E-3</v>
      </c>
      <c r="D1207">
        <f>(Prices!D53/Prices!D52)-1</f>
        <v>-1.0218131748677362E-2</v>
      </c>
      <c r="E1207">
        <f>(Prices!E53/Prices!E52)-1</f>
        <v>-2.9720331678901868E-3</v>
      </c>
      <c r="F1207">
        <f>(Prices!F53/Prices!F52)-1</f>
        <v>1.6634282735415562E-2</v>
      </c>
      <c r="G1207">
        <f t="shared" si="72"/>
        <v>1.2619053053438689E-3</v>
      </c>
      <c r="H1207" s="8">
        <f t="shared" si="75"/>
        <v>575819.97777176893</v>
      </c>
      <c r="I1207" s="8">
        <f t="shared" si="73"/>
        <v>1067100.1647020529</v>
      </c>
      <c r="J1207" s="13">
        <f t="shared" si="74"/>
        <v>-0.46038807150541045</v>
      </c>
    </row>
    <row r="1208" spans="1:10" x14ac:dyDescent="0.25">
      <c r="A1208" s="5">
        <v>46216</v>
      </c>
      <c r="B1208">
        <f>(Prices!B52/Prices!B51)-1</f>
        <v>1.3256500510957281E-2</v>
      </c>
      <c r="C1208">
        <f>(Prices!C52/Prices!C51)-1</f>
        <v>-1.5066878491262203E-2</v>
      </c>
      <c r="D1208">
        <f>(Prices!D52/Prices!D51)-1</f>
        <v>-3.8932999024933856E-2</v>
      </c>
      <c r="E1208">
        <f>(Prices!E52/Prices!E51)-1</f>
        <v>5.7991809404240868E-3</v>
      </c>
      <c r="F1208">
        <f>(Prices!F52/Prices!F51)-1</f>
        <v>-1.0411292970032404E-2</v>
      </c>
      <c r="G1208">
        <f t="shared" si="72"/>
        <v>-9.0710978069694186E-3</v>
      </c>
      <c r="H1208" s="8">
        <f t="shared" si="75"/>
        <v>570596.65843419428</v>
      </c>
      <c r="I1208" s="8">
        <f t="shared" si="73"/>
        <v>1067100.1647020529</v>
      </c>
      <c r="J1208" s="13">
        <f t="shared" si="74"/>
        <v>-0.46528294408659221</v>
      </c>
    </row>
    <row r="1209" spans="1:10" x14ac:dyDescent="0.25">
      <c r="A1209" s="6">
        <v>46217</v>
      </c>
      <c r="B1209">
        <f>(Prices!B51/Prices!B50)-1</f>
        <v>-1.948341126697839E-2</v>
      </c>
      <c r="C1209">
        <f>(Prices!C51/Prices!C50)-1</f>
        <v>1.5746596913146504E-2</v>
      </c>
      <c r="D1209">
        <f>(Prices!D51/Prices!D50)-1</f>
        <v>-4.0233074361819554E-3</v>
      </c>
      <c r="E1209">
        <f>(Prices!E51/Prices!E50)-1</f>
        <v>-2.4380996821138035E-2</v>
      </c>
      <c r="F1209">
        <f>(Prices!F51/Prices!F50)-1</f>
        <v>9.1578125369744523E-3</v>
      </c>
      <c r="G1209">
        <f t="shared" si="72"/>
        <v>-4.5966612148354846E-3</v>
      </c>
      <c r="H1209" s="8">
        <f t="shared" si="75"/>
        <v>567973.81890505506</v>
      </c>
      <c r="I1209" s="8">
        <f t="shared" si="73"/>
        <v>1067100.1647020529</v>
      </c>
      <c r="J1209" s="13">
        <f t="shared" si="74"/>
        <v>-0.46774085723842046</v>
      </c>
    </row>
    <row r="1210" spans="1:10" x14ac:dyDescent="0.25">
      <c r="A1210" s="5">
        <v>46218</v>
      </c>
      <c r="B1210">
        <f>(Prices!B50/Prices!B49)-1</f>
        <v>-3.0754289414049896E-2</v>
      </c>
      <c r="C1210">
        <f>(Prices!C50/Prices!C49)-1</f>
        <v>-2.704550634353875E-2</v>
      </c>
      <c r="D1210">
        <f>(Prices!D50/Prices!D49)-1</f>
        <v>4.0395598272737754E-3</v>
      </c>
      <c r="E1210">
        <f>(Prices!E50/Prices!E49)-1</f>
        <v>-1.1588019947536887E-2</v>
      </c>
      <c r="F1210">
        <f>(Prices!F50/Prices!F49)-1</f>
        <v>1.5939032599288305E-2</v>
      </c>
      <c r="G1210">
        <f t="shared" si="72"/>
        <v>-9.8818446557126897E-3</v>
      </c>
      <c r="H1210" s="8">
        <f t="shared" si="75"/>
        <v>562361.18985812343</v>
      </c>
      <c r="I1210" s="8">
        <f t="shared" si="73"/>
        <v>1067100.1647020529</v>
      </c>
      <c r="J1210" s="13">
        <f t="shared" si="74"/>
        <v>-0.47300055940377317</v>
      </c>
    </row>
    <row r="1211" spans="1:10" x14ac:dyDescent="0.25">
      <c r="A1211" s="6">
        <v>46219</v>
      </c>
      <c r="B1211">
        <f>(Prices!B49/Prices!B48)-1</f>
        <v>4.6438754481551436E-2</v>
      </c>
      <c r="C1211">
        <f>(Prices!C49/Prices!C48)-1</f>
        <v>-1.3638066691644912E-2</v>
      </c>
      <c r="D1211">
        <f>(Prices!D49/Prices!D48)-1</f>
        <v>-9.8613888697329788E-3</v>
      </c>
      <c r="E1211">
        <f>(Prices!E49/Prices!E48)-1</f>
        <v>1.0957307300014651E-2</v>
      </c>
      <c r="F1211">
        <f>(Prices!F49/Prices!F48)-1</f>
        <v>-1.1478409658024269E-2</v>
      </c>
      <c r="G1211">
        <f t="shared" si="72"/>
        <v>4.4836393124327847E-3</v>
      </c>
      <c r="H1211" s="8">
        <f t="shared" si="75"/>
        <v>564882.6145967578</v>
      </c>
      <c r="I1211" s="8">
        <f t="shared" si="73"/>
        <v>1067100.1647020529</v>
      </c>
      <c r="J1211" s="13">
        <f t="shared" si="74"/>
        <v>-0.47063768399428579</v>
      </c>
    </row>
    <row r="1212" spans="1:10" x14ac:dyDescent="0.25">
      <c r="A1212" s="5">
        <v>46220</v>
      </c>
      <c r="B1212">
        <f>(Prices!B48/Prices!B47)-1</f>
        <v>2.2161304285095884E-2</v>
      </c>
      <c r="C1212">
        <f>(Prices!C48/Prices!C47)-1</f>
        <v>1.8494962857433794E-2</v>
      </c>
      <c r="D1212">
        <f>(Prices!D48/Prices!D47)-1</f>
        <v>-9.5621883751110248E-3</v>
      </c>
      <c r="E1212">
        <f>(Prices!E48/Prices!E47)-1</f>
        <v>6.0099677513925087E-3</v>
      </c>
      <c r="F1212">
        <f>(Prices!F48/Prices!F47)-1</f>
        <v>-6.3521299707187673E-3</v>
      </c>
      <c r="G1212">
        <f t="shared" si="72"/>
        <v>6.1503833096184799E-3</v>
      </c>
      <c r="H1212" s="8">
        <f t="shared" si="75"/>
        <v>568356.85920146736</v>
      </c>
      <c r="I1212" s="8">
        <f t="shared" si="73"/>
        <v>1067100.1647020529</v>
      </c>
      <c r="J1212" s="13">
        <f t="shared" si="74"/>
        <v>-0.46738190284118331</v>
      </c>
    </row>
    <row r="1213" spans="1:10" x14ac:dyDescent="0.25">
      <c r="A1213" s="6">
        <v>46223</v>
      </c>
      <c r="B1213">
        <f>(Prices!B47/Prices!B46)-1</f>
        <v>-1.4811234932908701E-2</v>
      </c>
      <c r="C1213">
        <f>(Prices!C47/Prices!C46)-1</f>
        <v>-2.1044504769257566E-2</v>
      </c>
      <c r="D1213">
        <f>(Prices!D47/Prices!D46)-1</f>
        <v>-6.7838002849196499E-3</v>
      </c>
      <c r="E1213">
        <f>(Prices!E47/Prices!E46)-1</f>
        <v>6.5806946616697726E-3</v>
      </c>
      <c r="F1213">
        <f>(Prices!F47/Prices!F46)-1</f>
        <v>1.0764493877843284E-2</v>
      </c>
      <c r="G1213">
        <f t="shared" si="72"/>
        <v>-5.0588702895145721E-3</v>
      </c>
      <c r="H1213" s="8">
        <f t="shared" si="75"/>
        <v>565481.61557261122</v>
      </c>
      <c r="I1213" s="8">
        <f t="shared" si="73"/>
        <v>1067100.1647020529</v>
      </c>
      <c r="J1213" s="13">
        <f t="shared" si="74"/>
        <v>-0.4700763487085578</v>
      </c>
    </row>
    <row r="1214" spans="1:10" x14ac:dyDescent="0.25">
      <c r="A1214" s="5">
        <v>46224</v>
      </c>
      <c r="B1214">
        <f>(Prices!B46/Prices!B45)-1</f>
        <v>1.3922116853543942E-2</v>
      </c>
      <c r="C1214">
        <f>(Prices!C46/Prices!C45)-1</f>
        <v>1.1410579345088045E-2</v>
      </c>
      <c r="D1214">
        <f>(Prices!D46/Prices!D45)-1</f>
        <v>-2.2026139454653926E-2</v>
      </c>
      <c r="E1214">
        <f>(Prices!E46/Prices!E45)-1</f>
        <v>-1.842250094140141E-2</v>
      </c>
      <c r="F1214">
        <f>(Prices!F46/Prices!F45)-1</f>
        <v>-3.3919018631248798E-2</v>
      </c>
      <c r="G1214">
        <f t="shared" si="72"/>
        <v>-9.8069925657344285E-3</v>
      </c>
      <c r="H1214" s="8">
        <f t="shared" si="75"/>
        <v>559935.94157263113</v>
      </c>
      <c r="I1214" s="8">
        <f t="shared" si="73"/>
        <v>1067100.1647020529</v>
      </c>
      <c r="J1214" s="13">
        <f t="shared" si="74"/>
        <v>-0.47527330601717982</v>
      </c>
    </row>
    <row r="1215" spans="1:10" x14ac:dyDescent="0.25">
      <c r="A1215" s="6">
        <v>46225</v>
      </c>
      <c r="B1215">
        <f>(Prices!B45/Prices!B44)-1</f>
        <v>1.4800947728668801E-2</v>
      </c>
      <c r="C1215">
        <f>(Prices!C45/Prices!C44)-1</f>
        <v>1.896768563435236E-2</v>
      </c>
      <c r="D1215">
        <f>(Prices!D45/Prices!D44)-1</f>
        <v>-1.7789652026586888E-2</v>
      </c>
      <c r="E1215">
        <f>(Prices!E45/Prices!E44)-1</f>
        <v>-8.5580540478445988E-3</v>
      </c>
      <c r="F1215">
        <f>(Prices!F45/Prices!F44)-1</f>
        <v>1.168731191825878E-2</v>
      </c>
      <c r="G1215">
        <f t="shared" si="72"/>
        <v>3.821647841369691E-3</v>
      </c>
      <c r="H1215" s="8">
        <f t="shared" si="75"/>
        <v>562075.81955504755</v>
      </c>
      <c r="I1215" s="8">
        <f t="shared" si="73"/>
        <v>1067100.1647020529</v>
      </c>
      <c r="J1215" s="13">
        <f t="shared" si="74"/>
        <v>-0.4732679853798113</v>
      </c>
    </row>
    <row r="1216" spans="1:10" x14ac:dyDescent="0.25">
      <c r="A1216" s="5">
        <v>46226</v>
      </c>
      <c r="B1216">
        <f>(Prices!B44/Prices!B43)-1</f>
        <v>7.6789820151815791E-2</v>
      </c>
      <c r="C1216">
        <f>(Prices!C44/Prices!C43)-1</f>
        <v>2.2974321272908771E-2</v>
      </c>
      <c r="D1216">
        <f>(Prices!D44/Prices!D43)-1</f>
        <v>-1.552476263792657E-2</v>
      </c>
      <c r="E1216">
        <f>(Prices!E44/Prices!E43)-1</f>
        <v>-4.8299514146898925E-3</v>
      </c>
      <c r="F1216">
        <f>(Prices!F44/Prices!F43)-1</f>
        <v>1.8291089626339074E-2</v>
      </c>
      <c r="G1216">
        <f t="shared" si="72"/>
        <v>1.9540103399689437E-2</v>
      </c>
      <c r="H1216" s="8">
        <f t="shared" si="75"/>
        <v>573058.83918761835</v>
      </c>
      <c r="I1216" s="8">
        <f t="shared" si="73"/>
        <v>1067100.1647020529</v>
      </c>
      <c r="J1216" s="13">
        <f t="shared" si="74"/>
        <v>-0.46297558735020605</v>
      </c>
    </row>
    <row r="1217" spans="1:10" x14ac:dyDescent="0.25">
      <c r="A1217" s="6">
        <v>46227</v>
      </c>
      <c r="B1217">
        <f>(Prices!B43/Prices!B42)-1</f>
        <v>-6.3843770537976852E-3</v>
      </c>
      <c r="C1217">
        <f>(Prices!C43/Prices!C42)-1</f>
        <v>-3.149771641556276E-4</v>
      </c>
      <c r="D1217">
        <f>(Prices!D43/Prices!D42)-1</f>
        <v>-3.2065670493175435E-4</v>
      </c>
      <c r="E1217">
        <f>(Prices!E43/Prices!E42)-1</f>
        <v>-9.371195606013405E-3</v>
      </c>
      <c r="F1217">
        <f>(Prices!F43/Prices!F42)-1</f>
        <v>6.6958414042135317E-3</v>
      </c>
      <c r="G1217">
        <f t="shared" si="72"/>
        <v>-1.9390730249369879E-3</v>
      </c>
      <c r="H1217" s="8">
        <f t="shared" si="75"/>
        <v>571947.63625084795</v>
      </c>
      <c r="I1217" s="8">
        <f t="shared" si="73"/>
        <v>1067100.1647020529</v>
      </c>
      <c r="J1217" s="13">
        <f t="shared" si="74"/>
        <v>-0.4640169169025079</v>
      </c>
    </row>
    <row r="1218" spans="1:10" x14ac:dyDescent="0.25">
      <c r="A1218" s="5">
        <v>46230</v>
      </c>
      <c r="B1218">
        <f>(Prices!B42/Prices!B41)-1</f>
        <v>-2.0897809100658971E-2</v>
      </c>
      <c r="C1218">
        <f>(Prices!C42/Prices!C41)-1</f>
        <v>-1.9028246260009762E-2</v>
      </c>
      <c r="D1218">
        <f>(Prices!D42/Prices!D41)-1</f>
        <v>1.4046953241854787E-2</v>
      </c>
      <c r="E1218">
        <f>(Prices!E42/Prices!E41)-1</f>
        <v>-8.3941605839416011E-3</v>
      </c>
      <c r="F1218">
        <f>(Prices!F42/Prices!F41)-1</f>
        <v>7.4443480774790682E-3</v>
      </c>
      <c r="G1218">
        <f t="shared" ref="G1218:G1281" si="76">B1218*20%+C1218*20%+D1218*20%+E1218*20%+F1218*20%</f>
        <v>-5.3657829250552949E-3</v>
      </c>
      <c r="H1218" s="8">
        <f t="shared" si="75"/>
        <v>568878.68939022743</v>
      </c>
      <c r="I1218" s="8">
        <f t="shared" ref="I1218:I1256" si="77">MAX(I1217,H1218)</f>
        <v>1067100.1647020529</v>
      </c>
      <c r="J1218" s="13">
        <f t="shared" ref="J1218:J1281" si="78">(H1218-I1218)/I1218</f>
        <v>-0.46689288577791088</v>
      </c>
    </row>
    <row r="1219" spans="1:10" x14ac:dyDescent="0.25">
      <c r="A1219" s="6">
        <v>46231</v>
      </c>
      <c r="B1219">
        <f>(Prices!B41/Prices!B40)-1</f>
        <v>-2.1439280359820012E-2</v>
      </c>
      <c r="C1219">
        <f>(Prices!C41/Prices!C40)-1</f>
        <v>-1.0799521153307401E-2</v>
      </c>
      <c r="D1219">
        <f>(Prices!D41/Prices!D40)-1</f>
        <v>1.1245560962777956E-2</v>
      </c>
      <c r="E1219">
        <f>(Prices!E41/Prices!E40)-1</f>
        <v>-3.1065461364081504E-3</v>
      </c>
      <c r="F1219">
        <f>(Prices!F41/Prices!F40)-1</f>
        <v>-2.6022479292301282E-2</v>
      </c>
      <c r="G1219">
        <f t="shared" si="76"/>
        <v>-1.0024453195811779E-2</v>
      </c>
      <c r="H1219" s="8">
        <f t="shared" si="75"/>
        <v>563175.9915943403</v>
      </c>
      <c r="I1219" s="8">
        <f t="shared" si="77"/>
        <v>1067100.1647020529</v>
      </c>
      <c r="J1219" s="13">
        <f t="shared" si="78"/>
        <v>-0.47223699309278455</v>
      </c>
    </row>
    <row r="1220" spans="1:10" x14ac:dyDescent="0.25">
      <c r="A1220" s="5">
        <v>46232</v>
      </c>
      <c r="B1220">
        <f>(Prices!B40/Prices!B39)-1</f>
        <v>-8.8858509911141637E-3</v>
      </c>
      <c r="C1220">
        <f>(Prices!C40/Prices!C39)-1</f>
        <v>7.1829865832071516E-3</v>
      </c>
      <c r="D1220">
        <f>(Prices!D40/Prices!D39)-1</f>
        <v>-2.362912546551954E-2</v>
      </c>
      <c r="E1220">
        <f>(Prices!E40/Prices!E39)-1</f>
        <v>3.6552464390357198E-2</v>
      </c>
      <c r="F1220">
        <f>(Prices!F40/Prices!F39)-1</f>
        <v>1.9545454545454533E-2</v>
      </c>
      <c r="G1220">
        <f t="shared" si="76"/>
        <v>6.1531858124770356E-3</v>
      </c>
      <c r="H1220" s="8">
        <f t="shared" ref="H1220:H1256" si="79">H1219*(1+G1220)</f>
        <v>566641.31811574625</v>
      </c>
      <c r="I1220" s="8">
        <f t="shared" si="77"/>
        <v>1067100.1647020529</v>
      </c>
      <c r="J1220" s="13">
        <f t="shared" si="78"/>
        <v>-0.46898956924633289</v>
      </c>
    </row>
    <row r="1221" spans="1:10" x14ac:dyDescent="0.25">
      <c r="A1221" s="6">
        <v>46233</v>
      </c>
      <c r="B1221">
        <f>(Prices!B39/Prices!B38)-1</f>
        <v>9.1168091168092324E-3</v>
      </c>
      <c r="C1221">
        <f>(Prices!C39/Prices!C38)-1</f>
        <v>-0.1342365352581899</v>
      </c>
      <c r="D1221">
        <f>(Prices!D39/Prices!D38)-1</f>
        <v>-1.4106181072069957E-3</v>
      </c>
      <c r="E1221">
        <f>(Prices!E39/Prices!E38)-1</f>
        <v>-1.7500356277611595E-2</v>
      </c>
      <c r="F1221">
        <f>(Prices!F39/Prices!F38)-1</f>
        <v>-2.124662799302901E-3</v>
      </c>
      <c r="G1221">
        <f t="shared" si="76"/>
        <v>-2.9231072665100437E-2</v>
      </c>
      <c r="H1221" s="8">
        <f t="shared" si="79"/>
        <v>550077.7845708566</v>
      </c>
      <c r="I1221" s="8">
        <f t="shared" si="77"/>
        <v>1067100.1647020529</v>
      </c>
      <c r="J1221" s="13">
        <f t="shared" si="78"/>
        <v>-0.48451157373361958</v>
      </c>
    </row>
    <row r="1222" spans="1:10" x14ac:dyDescent="0.25">
      <c r="A1222" s="5">
        <v>46234</v>
      </c>
      <c r="B1222">
        <f>(Prices!B38/Prices!B37)-1</f>
        <v>-6.307951671817924E-2</v>
      </c>
      <c r="C1222">
        <f>(Prices!C38/Prices!C37)-1</f>
        <v>-2.9319823218712959E-2</v>
      </c>
      <c r="D1222">
        <f>(Prices!D38/Prices!D37)-1</f>
        <v>9.8420098420100022E-3</v>
      </c>
      <c r="E1222">
        <f>(Prices!E38/Prices!E37)-1</f>
        <v>-2.6720486653969422E-3</v>
      </c>
      <c r="F1222">
        <f>(Prices!F38/Prices!F37)-1</f>
        <v>1.7068906910115089E-2</v>
      </c>
      <c r="G1222">
        <f t="shared" si="76"/>
        <v>-1.3632094370032811E-2</v>
      </c>
      <c r="H1222" s="8">
        <f t="shared" si="79"/>
        <v>542579.07230072818</v>
      </c>
      <c r="I1222" s="8">
        <f t="shared" si="77"/>
        <v>1067100.1647020529</v>
      </c>
      <c r="J1222" s="13">
        <f t="shared" si="78"/>
        <v>-0.49153876060714252</v>
      </c>
    </row>
    <row r="1223" spans="1:10" x14ac:dyDescent="0.25">
      <c r="A1223" s="6">
        <v>46237</v>
      </c>
      <c r="B1223">
        <f>(Prices!B37/Prices!B36)-1</f>
        <v>-4.6534679990355543E-2</v>
      </c>
      <c r="C1223">
        <f>(Prices!C37/Prices!C36)-1</f>
        <v>-4.7007581205185667E-2</v>
      </c>
      <c r="D1223">
        <f>(Prices!D37/Prices!D36)-1</f>
        <v>2.4665714656626481E-3</v>
      </c>
      <c r="E1223">
        <f>(Prices!E37/Prices!E36)-1</f>
        <v>-2.4103901996369581E-3</v>
      </c>
      <c r="F1223">
        <f>(Prices!F37/Prices!F36)-1</f>
        <v>-2.3254687272903363E-3</v>
      </c>
      <c r="G1223">
        <f t="shared" si="76"/>
        <v>-1.9162309731361168E-2</v>
      </c>
      <c r="H1223" s="8">
        <f t="shared" si="79"/>
        <v>532182.00406354701</v>
      </c>
      <c r="I1223" s="8">
        <f t="shared" si="77"/>
        <v>1067100.1647020529</v>
      </c>
      <c r="J1223" s="13">
        <f t="shared" si="78"/>
        <v>-0.50128205236278023</v>
      </c>
    </row>
    <row r="1224" spans="1:10" x14ac:dyDescent="0.25">
      <c r="A1224" s="5">
        <v>46238</v>
      </c>
      <c r="B1224">
        <f>(Prices!B36/Prices!B35)-1</f>
        <v>-1.0969502662886654E-2</v>
      </c>
      <c r="C1224">
        <f>(Prices!C36/Prices!C35)-1</f>
        <v>-1.0470033341465346E-2</v>
      </c>
      <c r="D1224">
        <f>(Prices!D36/Prices!D35)-1</f>
        <v>7.1255801791201279E-3</v>
      </c>
      <c r="E1224">
        <f>(Prices!E36/Prices!E35)-1</f>
        <v>-1.3649586037144723E-2</v>
      </c>
      <c r="F1224">
        <f>(Prices!F36/Prices!F35)-1</f>
        <v>1.9157655655952288E-2</v>
      </c>
      <c r="G1224">
        <f t="shared" si="76"/>
        <v>-1.7611772412848619E-3</v>
      </c>
      <c r="H1224" s="8">
        <f t="shared" si="79"/>
        <v>531244.73722976889</v>
      </c>
      <c r="I1224" s="8">
        <f t="shared" si="77"/>
        <v>1067100.1647020529</v>
      </c>
      <c r="J1224" s="13">
        <f t="shared" si="78"/>
        <v>-0.5021603830619793</v>
      </c>
    </row>
    <row r="1225" spans="1:10" x14ac:dyDescent="0.25">
      <c r="A1225" s="6">
        <v>46239</v>
      </c>
      <c r="B1225">
        <f>(Prices!B35/Prices!B34)-1</f>
        <v>4.1993373826615166E-2</v>
      </c>
      <c r="C1225">
        <f>(Prices!C35/Prices!C34)-1</f>
        <v>1.097545936613642E-2</v>
      </c>
      <c r="D1225">
        <f>(Prices!D35/Prices!D34)-1</f>
        <v>1.5399933620975803E-2</v>
      </c>
      <c r="E1225">
        <f>(Prices!E35/Prices!E34)-1</f>
        <v>-4.7878855361319639E-3</v>
      </c>
      <c r="F1225">
        <f>(Prices!F35/Prices!F34)-1</f>
        <v>-1.2578616352201366E-2</v>
      </c>
      <c r="G1225">
        <f t="shared" si="76"/>
        <v>1.0200452985078812E-2</v>
      </c>
      <c r="H1225" s="8">
        <f t="shared" si="79"/>
        <v>536663.67419545166</v>
      </c>
      <c r="I1225" s="8">
        <f t="shared" si="77"/>
        <v>1067100.1647020529</v>
      </c>
      <c r="J1225" s="13">
        <f t="shared" si="78"/>
        <v>-0.49708219345529336</v>
      </c>
    </row>
    <row r="1226" spans="1:10" x14ac:dyDescent="0.25">
      <c r="A1226" s="5">
        <v>46240</v>
      </c>
      <c r="B1226">
        <f>(Prices!B34/Prices!B33)-1</f>
        <v>1.3090176773327356E-2</v>
      </c>
      <c r="C1226">
        <f>(Prices!C34/Prices!C33)-1</f>
        <v>-2.4813597370319851E-2</v>
      </c>
      <c r="D1226">
        <f>(Prices!D34/Prices!D33)-1</f>
        <v>-2.0735829433177311E-2</v>
      </c>
      <c r="E1226">
        <f>(Prices!E34/Prices!E33)-1</f>
        <v>8.2514734774066234E-3</v>
      </c>
      <c r="F1226">
        <f>(Prices!F34/Prices!F33)-1</f>
        <v>2.1718555417185703E-2</v>
      </c>
      <c r="G1226">
        <f t="shared" si="76"/>
        <v>-4.9784422711549644E-4</v>
      </c>
      <c r="H1226" s="8">
        <f t="shared" si="79"/>
        <v>536396.49928335089</v>
      </c>
      <c r="I1226" s="8">
        <f t="shared" si="77"/>
        <v>1067100.1647020529</v>
      </c>
      <c r="J1226" s="13">
        <f t="shared" si="78"/>
        <v>-0.49733256818199523</v>
      </c>
    </row>
    <row r="1227" spans="1:10" x14ac:dyDescent="0.25">
      <c r="A1227" s="6">
        <v>46241</v>
      </c>
      <c r="B1227">
        <f>(Prices!B33/Prices!B32)-1</f>
        <v>9.743835964639791E-3</v>
      </c>
      <c r="C1227">
        <f>(Prices!C33/Prices!C32)-1</f>
        <v>-2.6049494038671295E-4</v>
      </c>
      <c r="D1227">
        <f>(Prices!D33/Prices!D32)-1</f>
        <v>1.17059055635933E-2</v>
      </c>
      <c r="E1227">
        <f>(Prices!E33/Prices!E32)-1</f>
        <v>-3.412396509286153E-3</v>
      </c>
      <c r="F1227">
        <f>(Prices!F33/Prices!F32)-1</f>
        <v>-7.6373612793197987E-3</v>
      </c>
      <c r="G1227">
        <f t="shared" si="76"/>
        <v>2.0278977598480854E-3</v>
      </c>
      <c r="H1227" s="8">
        <f t="shared" si="79"/>
        <v>537484.25654263794</v>
      </c>
      <c r="I1227" s="8">
        <f t="shared" si="77"/>
        <v>1067100.1647020529</v>
      </c>
      <c r="J1227" s="13">
        <f t="shared" si="78"/>
        <v>-0.49631321002306289</v>
      </c>
    </row>
    <row r="1228" spans="1:10" x14ac:dyDescent="0.25">
      <c r="A1228" s="5">
        <v>46244</v>
      </c>
      <c r="B1228">
        <f>(Prices!B32/Prices!B31)-1</f>
        <v>-9.0122869377816661E-3</v>
      </c>
      <c r="C1228">
        <f>(Prices!C32/Prices!C31)-1</f>
        <v>-1.1997386707845781E-2</v>
      </c>
      <c r="D1228">
        <f>(Prices!D32/Prices!D31)-1</f>
        <v>-4.2202066011589712E-2</v>
      </c>
      <c r="E1228">
        <f>(Prices!E32/Prices!E31)-1</f>
        <v>-6.3092359431892175E-3</v>
      </c>
      <c r="F1228">
        <f>(Prices!F32/Prices!F31)-1</f>
        <v>-4.0616384403309169E-3</v>
      </c>
      <c r="G1228">
        <f t="shared" si="76"/>
        <v>-1.471652280814746E-2</v>
      </c>
      <c r="H1228" s="8">
        <f t="shared" si="79"/>
        <v>529574.35722220805</v>
      </c>
      <c r="I1228" s="8">
        <f t="shared" si="77"/>
        <v>1067100.1647020529</v>
      </c>
      <c r="J1228" s="13">
        <f t="shared" si="78"/>
        <v>-0.50372572815592109</v>
      </c>
    </row>
    <row r="1229" spans="1:10" x14ac:dyDescent="0.25">
      <c r="A1229" s="6">
        <v>46245</v>
      </c>
      <c r="B1229">
        <f>(Prices!B31/Prices!B30)-1</f>
        <v>3.9903370394085869E-2</v>
      </c>
      <c r="C1229">
        <f>(Prices!C31/Prices!C30)-1</f>
        <v>4.4744063954182955E-3</v>
      </c>
      <c r="D1229">
        <f>(Prices!D31/Prices!D30)-1</f>
        <v>-6.298419096817387E-5</v>
      </c>
      <c r="E1229">
        <f>(Prices!E31/Prices!E30)-1</f>
        <v>-6.214782896917459E-3</v>
      </c>
      <c r="F1229">
        <f>(Prices!F31/Prices!F30)-1</f>
        <v>1.6285993045305647E-2</v>
      </c>
      <c r="G1229">
        <f t="shared" si="76"/>
        <v>1.0877200549384836E-2</v>
      </c>
      <c r="H1229" s="8">
        <f t="shared" si="79"/>
        <v>535334.6437115256</v>
      </c>
      <c r="I1229" s="8">
        <f t="shared" si="77"/>
        <v>1067100.1647020529</v>
      </c>
      <c r="J1229" s="13">
        <f t="shared" si="78"/>
        <v>-0.49832765337357304</v>
      </c>
    </row>
    <row r="1230" spans="1:10" x14ac:dyDescent="0.25">
      <c r="A1230" s="5">
        <v>46246</v>
      </c>
      <c r="B1230">
        <f>(Prices!B30/Prices!B29)-1</f>
        <v>7.5731096353259808E-4</v>
      </c>
      <c r="C1230">
        <f>(Prices!C30/Prices!C29)-1</f>
        <v>2.3112919633774265E-2</v>
      </c>
      <c r="D1230">
        <f>(Prices!D30/Prices!D29)-1</f>
        <v>3.1502016129048016E-4</v>
      </c>
      <c r="E1230">
        <f>(Prices!E30/Prices!E29)-1</f>
        <v>-8.5984993701735402E-3</v>
      </c>
      <c r="F1230">
        <f>(Prices!F30/Prices!F29)-1</f>
        <v>-8.3848081168911293E-3</v>
      </c>
      <c r="G1230">
        <f t="shared" si="76"/>
        <v>1.4403886543065342E-3</v>
      </c>
      <c r="H1230" s="8">
        <f t="shared" si="79"/>
        <v>536105.733658585</v>
      </c>
      <c r="I1230" s="8">
        <f t="shared" si="77"/>
        <v>1067100.1647020529</v>
      </c>
      <c r="J1230" s="13">
        <f t="shared" si="78"/>
        <v>-0.49760505021731294</v>
      </c>
    </row>
    <row r="1231" spans="1:10" x14ac:dyDescent="0.25">
      <c r="A1231" s="6">
        <v>46247</v>
      </c>
      <c r="B1231">
        <f>(Prices!B29/Prices!B28)-1</f>
        <v>-8.1469925463685255E-3</v>
      </c>
      <c r="C1231">
        <f>(Prices!C29/Prices!C28)-1</f>
        <v>-8.9726786974493322E-3</v>
      </c>
      <c r="D1231">
        <f>(Prices!D29/Prices!D28)-1</f>
        <v>7.1705057427502439E-3</v>
      </c>
      <c r="E1231">
        <f>(Prices!E29/Prices!E28)-1</f>
        <v>5.7007518382858891E-3</v>
      </c>
      <c r="F1231">
        <f>(Prices!F29/Prices!F28)-1</f>
        <v>1.6363269628359767E-2</v>
      </c>
      <c r="G1231">
        <f t="shared" si="76"/>
        <v>2.422971193115608E-3</v>
      </c>
      <c r="H1231" s="8">
        <f t="shared" si="79"/>
        <v>537404.70240770385</v>
      </c>
      <c r="I1231" s="8">
        <f t="shared" si="77"/>
        <v>1067100.1647020529</v>
      </c>
      <c r="J1231" s="13">
        <f t="shared" si="78"/>
        <v>-0.49638776172642274</v>
      </c>
    </row>
    <row r="1232" spans="1:10" x14ac:dyDescent="0.25">
      <c r="A1232" s="5">
        <v>46248</v>
      </c>
      <c r="B1232">
        <f>(Prices!B28/Prices!B27)-1</f>
        <v>1.330710483684383E-3</v>
      </c>
      <c r="C1232">
        <f>(Prices!C28/Prices!C27)-1</f>
        <v>2.9931037272230565E-3</v>
      </c>
      <c r="D1232">
        <f>(Prices!D28/Prices!D27)-1</f>
        <v>-9.3040799647953198E-3</v>
      </c>
      <c r="E1232">
        <f>(Prices!E28/Prices!E27)-1</f>
        <v>7.4412964392034375E-4</v>
      </c>
      <c r="F1232">
        <f>(Prices!F28/Prices!F27)-1</f>
        <v>-6.6371127307335298E-3</v>
      </c>
      <c r="G1232">
        <f t="shared" si="76"/>
        <v>-2.1746497681402132E-3</v>
      </c>
      <c r="H1232" s="8">
        <f t="shared" si="79"/>
        <v>536236.03539621551</v>
      </c>
      <c r="I1232" s="8">
        <f t="shared" si="77"/>
        <v>1067100.1647020529</v>
      </c>
      <c r="J1232" s="13">
        <f t="shared" si="78"/>
        <v>-0.49748294196361692</v>
      </c>
    </row>
    <row r="1233" spans="1:10" x14ac:dyDescent="0.25">
      <c r="A1233" s="6">
        <v>46251</v>
      </c>
      <c r="B1233">
        <f>(Prices!B27/Prices!B26)-1</f>
        <v>5.5267903892024517E-3</v>
      </c>
      <c r="C1233">
        <f>(Prices!C27/Prices!C26)-1</f>
        <v>3.1327562832412115E-2</v>
      </c>
      <c r="D1233">
        <f>(Prices!D27/Prices!D26)-1</f>
        <v>-1.4802427845906241E-2</v>
      </c>
      <c r="E1233">
        <f>(Prices!E27/Prices!E26)-1</f>
        <v>5.2083333333332593E-3</v>
      </c>
      <c r="F1233">
        <f>(Prices!F27/Prices!F26)-1</f>
        <v>1.5437436419125206E-2</v>
      </c>
      <c r="G1233">
        <f t="shared" si="76"/>
        <v>8.5395390256333588E-3</v>
      </c>
      <c r="H1233" s="8">
        <f t="shared" si="79"/>
        <v>540815.24394743238</v>
      </c>
      <c r="I1233" s="8">
        <f t="shared" si="77"/>
        <v>1067100.1647020529</v>
      </c>
      <c r="J1233" s="13">
        <f t="shared" si="78"/>
        <v>-0.49319167793546875</v>
      </c>
    </row>
    <row r="1234" spans="1:10" x14ac:dyDescent="0.25">
      <c r="A1234" s="5">
        <v>46252</v>
      </c>
      <c r="B1234">
        <f>(Prices!B26/Prices!B25)-1</f>
        <v>-5.8142915285785968E-4</v>
      </c>
      <c r="C1234">
        <f>(Prices!C26/Prices!C25)-1</f>
        <v>-2.6626172695692896E-3</v>
      </c>
      <c r="D1234">
        <f>(Prices!D26/Prices!D25)-1</f>
        <v>-2.4764435854070954E-2</v>
      </c>
      <c r="E1234">
        <f>(Prices!E26/Prices!E25)-1</f>
        <v>-6.3041982105987993E-3</v>
      </c>
      <c r="F1234">
        <f>(Prices!F26/Prices!F25)-1</f>
        <v>4.2909685328973435E-3</v>
      </c>
      <c r="G1234">
        <f t="shared" si="76"/>
        <v>-6.0043423908399127E-3</v>
      </c>
      <c r="H1234" s="8">
        <f t="shared" si="79"/>
        <v>537568.00405258639</v>
      </c>
      <c r="I1234" s="8">
        <f t="shared" si="77"/>
        <v>1067100.1647020529</v>
      </c>
      <c r="J1234" s="13">
        <f t="shared" si="78"/>
        <v>-0.49623472862767126</v>
      </c>
    </row>
    <row r="1235" spans="1:10" x14ac:dyDescent="0.25">
      <c r="A1235" s="6">
        <v>46253</v>
      </c>
      <c r="B1235">
        <f>(Prices!B25/Prices!B24)-1</f>
        <v>-1.5094339622641062E-3</v>
      </c>
      <c r="C1235">
        <f>(Prices!C25/Prices!C24)-1</f>
        <v>-5.5233760860570191E-3</v>
      </c>
      <c r="D1235">
        <f>(Prices!D25/Prices!D24)-1</f>
        <v>4.7945621168901109E-3</v>
      </c>
      <c r="E1235">
        <f>(Prices!E25/Prices!E24)-1</f>
        <v>1.6766500587807265E-2</v>
      </c>
      <c r="F1235">
        <f>(Prices!F25/Prices!F24)-1</f>
        <v>1.3696502084250328E-2</v>
      </c>
      <c r="G1235">
        <f t="shared" si="76"/>
        <v>5.6449509481253162E-3</v>
      </c>
      <c r="H1235" s="8">
        <f t="shared" si="79"/>
        <v>540602.54906674486</v>
      </c>
      <c r="I1235" s="8">
        <f t="shared" si="77"/>
        <v>1067100.1647020529</v>
      </c>
      <c r="J1235" s="13">
        <f t="shared" si="78"/>
        <v>-0.49339099838140543</v>
      </c>
    </row>
    <row r="1236" spans="1:10" x14ac:dyDescent="0.25">
      <c r="A1236" s="5">
        <v>46254</v>
      </c>
      <c r="B1236">
        <f>(Prices!B24/Prices!B23)-1</f>
        <v>1.1896019973564487E-2</v>
      </c>
      <c r="C1236">
        <f>(Prices!C24/Prices!C23)-1</f>
        <v>4.6762963732722707E-3</v>
      </c>
      <c r="D1236">
        <f>(Prices!D24/Prices!D23)-1</f>
        <v>-8.305747818236453E-3</v>
      </c>
      <c r="E1236">
        <f>(Prices!E24/Prices!E23)-1</f>
        <v>1.6242355283743404E-2</v>
      </c>
      <c r="F1236">
        <f>(Prices!F24/Prices!F23)-1</f>
        <v>9.7780334126382762E-3</v>
      </c>
      <c r="G1236">
        <f t="shared" si="76"/>
        <v>6.8573914449963974E-3</v>
      </c>
      <c r="H1236" s="8">
        <f t="shared" si="79"/>
        <v>544309.67236185831</v>
      </c>
      <c r="I1236" s="8">
        <f t="shared" si="77"/>
        <v>1067100.1647020529</v>
      </c>
      <c r="J1236" s="13">
        <f t="shared" si="78"/>
        <v>-0.48991698214774804</v>
      </c>
    </row>
    <row r="1237" spans="1:10" x14ac:dyDescent="0.25">
      <c r="A1237" s="6">
        <v>46255</v>
      </c>
      <c r="B1237">
        <f>(Prices!B23/Prices!B22)-1</f>
        <v>-1.2042948345908355E-2</v>
      </c>
      <c r="C1237">
        <f>(Prices!C23/Prices!C22)-1</f>
        <v>-4.3249730982535262E-3</v>
      </c>
      <c r="D1237">
        <f>(Prices!D23/Prices!D22)-1</f>
        <v>6.2988310823086646E-3</v>
      </c>
      <c r="E1237">
        <f>(Prices!E23/Prices!E22)-1</f>
        <v>-8.5329085841023833E-5</v>
      </c>
      <c r="F1237">
        <f>(Prices!F23/Prices!F22)-1</f>
        <v>-1.3489115856803902E-2</v>
      </c>
      <c r="G1237">
        <f t="shared" si="76"/>
        <v>-4.7287070608996286E-3</v>
      </c>
      <c r="H1237" s="8">
        <f t="shared" si="79"/>
        <v>541735.79137084482</v>
      </c>
      <c r="I1237" s="8">
        <f t="shared" si="77"/>
        <v>1067100.1647020529</v>
      </c>
      <c r="J1237" s="13">
        <f t="shared" si="78"/>
        <v>-0.49232901531591095</v>
      </c>
    </row>
    <row r="1238" spans="1:10" x14ac:dyDescent="0.25">
      <c r="A1238" s="5">
        <v>46258</v>
      </c>
      <c r="B1238">
        <f>(Prices!B22/Prices!B21)-1</f>
        <v>-9.3146274149032982E-3</v>
      </c>
      <c r="C1238">
        <f>(Prices!C22/Prices!C21)-1</f>
        <v>-8.3519730766863365E-3</v>
      </c>
      <c r="D1238">
        <f>(Prices!D22/Prices!D21)-1</f>
        <v>6.4614446814994508E-3</v>
      </c>
      <c r="E1238">
        <f>(Prices!E22/Prices!E21)-1</f>
        <v>-1.3496450517691327E-2</v>
      </c>
      <c r="F1238">
        <f>(Prices!F22/Prices!F21)-1</f>
        <v>-2.1699636657246613E-2</v>
      </c>
      <c r="G1238">
        <f t="shared" si="76"/>
        <v>-9.2802485970056251E-3</v>
      </c>
      <c r="H1238" s="8">
        <f t="shared" si="79"/>
        <v>536708.34855302784</v>
      </c>
      <c r="I1238" s="8">
        <f t="shared" si="77"/>
        <v>1067100.1647020529</v>
      </c>
      <c r="J1238" s="13">
        <f t="shared" si="78"/>
        <v>-0.49704032825926592</v>
      </c>
    </row>
    <row r="1239" spans="1:10" x14ac:dyDescent="0.25">
      <c r="A1239" s="6">
        <v>46259</v>
      </c>
      <c r="B1239">
        <f>(Prices!B21/Prices!B20)-1</f>
        <v>3.1724058372266661E-3</v>
      </c>
      <c r="C1239">
        <f>(Prices!C21/Prices!C20)-1</f>
        <v>-8.9483638730145643E-3</v>
      </c>
      <c r="D1239">
        <f>(Prices!D21/Prices!D20)-1</f>
        <v>2.1227589641434452E-2</v>
      </c>
      <c r="E1239">
        <f>(Prices!E21/Prices!E20)-1</f>
        <v>-8.410664722868777E-4</v>
      </c>
      <c r="F1239">
        <f>(Prices!F21/Prices!F20)-1</f>
        <v>5.4800081185304439E-3</v>
      </c>
      <c r="G1239">
        <f t="shared" si="76"/>
        <v>4.0181146503780246E-3</v>
      </c>
      <c r="H1239" s="8">
        <f t="shared" si="79"/>
        <v>538864.90423132887</v>
      </c>
      <c r="I1239" s="8">
        <f t="shared" si="77"/>
        <v>1067100.1647020529</v>
      </c>
      <c r="J1239" s="13">
        <f t="shared" si="78"/>
        <v>-0.49501937863369522</v>
      </c>
    </row>
    <row r="1240" spans="1:10" x14ac:dyDescent="0.25">
      <c r="A1240" s="5">
        <v>46260</v>
      </c>
      <c r="B1240">
        <f>(Prices!B20/Prices!B19)-1</f>
        <v>1.4512259348118839E-2</v>
      </c>
      <c r="C1240">
        <f>(Prices!C20/Prices!C19)-1</f>
        <v>-9.388158027278104E-3</v>
      </c>
      <c r="D1240">
        <f>(Prices!D20/Prices!D19)-1</f>
        <v>1.5487704658954327E-2</v>
      </c>
      <c r="E1240">
        <f>(Prices!E20/Prices!E19)-1</f>
        <v>5.3295932678820712E-4</v>
      </c>
      <c r="F1240">
        <f>(Prices!F20/Prices!F19)-1</f>
        <v>-1.1039743075070163E-2</v>
      </c>
      <c r="G1240">
        <f t="shared" si="76"/>
        <v>2.021004446302621E-3</v>
      </c>
      <c r="H1240" s="8">
        <f t="shared" si="79"/>
        <v>539953.95259873685</v>
      </c>
      <c r="I1240" s="8">
        <f t="shared" si="77"/>
        <v>1067100.1647020529</v>
      </c>
      <c r="J1240" s="13">
        <f t="shared" si="78"/>
        <v>-0.49399881055261724</v>
      </c>
    </row>
    <row r="1241" spans="1:10" x14ac:dyDescent="0.25">
      <c r="A1241" s="6">
        <v>46261</v>
      </c>
      <c r="B1241">
        <f>(Prices!B19/Prices!B18)-1</f>
        <v>3.9655729518548455E-3</v>
      </c>
      <c r="C1241">
        <f>(Prices!C19/Prices!C18)-1</f>
        <v>-1.7205876529521213E-2</v>
      </c>
      <c r="D1241">
        <f>(Prices!D19/Prices!D18)-1</f>
        <v>1.1186397340833487E-2</v>
      </c>
      <c r="E1241">
        <f>(Prices!E19/Prices!E18)-1</f>
        <v>6.4366777708768641E-3</v>
      </c>
      <c r="F1241">
        <f>(Prices!F19/Prices!F18)-1</f>
        <v>1.5103277895219369E-2</v>
      </c>
      <c r="G1241">
        <f t="shared" si="76"/>
        <v>3.8972098858526712E-3</v>
      </c>
      <c r="H1241" s="8">
        <f t="shared" si="79"/>
        <v>542058.26648070989</v>
      </c>
      <c r="I1241" s="8">
        <f t="shared" si="77"/>
        <v>1067100.1647020529</v>
      </c>
      <c r="J1241" s="13">
        <f t="shared" si="78"/>
        <v>-0.49202681771484968</v>
      </c>
    </row>
    <row r="1242" spans="1:10" x14ac:dyDescent="0.25">
      <c r="A1242" s="5">
        <v>46262</v>
      </c>
      <c r="B1242">
        <f>(Prices!B18/Prices!B17)-1</f>
        <v>-1.7149291220371232E-2</v>
      </c>
      <c r="C1242">
        <f>(Prices!C18/Prices!C17)-1</f>
        <v>-1.6493680992347048E-2</v>
      </c>
      <c r="D1242">
        <f>(Prices!D18/Prices!D17)-1</f>
        <v>-1.7229277008488086E-3</v>
      </c>
      <c r="E1242">
        <f>(Prices!E18/Prices!E17)-1</f>
        <v>-9.5072982495385538E-3</v>
      </c>
      <c r="F1242">
        <f>(Prices!F18/Prices!F17)-1</f>
        <v>5.3258225579311258E-3</v>
      </c>
      <c r="G1242">
        <f t="shared" si="76"/>
        <v>-7.9094751210349035E-3</v>
      </c>
      <c r="H1242" s="8">
        <f t="shared" si="79"/>
        <v>537770.87010782945</v>
      </c>
      <c r="I1242" s="8">
        <f t="shared" si="77"/>
        <v>1067100.1647020529</v>
      </c>
      <c r="J1242" s="13">
        <f t="shared" si="78"/>
        <v>-0.49604461896228697</v>
      </c>
    </row>
    <row r="1243" spans="1:10" x14ac:dyDescent="0.25">
      <c r="A1243" s="6">
        <v>46265</v>
      </c>
      <c r="B1243">
        <f>(Prices!B17/Prices!B16)-1</f>
        <v>2.1348745318904294E-2</v>
      </c>
      <c r="C1243">
        <f>(Prices!C17/Prices!C16)-1</f>
        <v>1.230065642926137E-2</v>
      </c>
      <c r="D1243">
        <f>(Prices!D17/Prices!D16)-1</f>
        <v>-2.6343584964274469E-2</v>
      </c>
      <c r="E1243">
        <f>(Prices!E17/Prices!E16)-1</f>
        <v>4.4941295432840977E-3</v>
      </c>
      <c r="F1243">
        <f>(Prices!F17/Prices!F16)-1</f>
        <v>9.0949022039636951E-3</v>
      </c>
      <c r="G1243">
        <f t="shared" si="76"/>
        <v>4.1789697062277979E-3</v>
      </c>
      <c r="H1243" s="8">
        <f t="shared" si="79"/>
        <v>540018.19828290178</v>
      </c>
      <c r="I1243" s="8">
        <f t="shared" si="77"/>
        <v>1067100.1647020529</v>
      </c>
      <c r="J1243" s="13">
        <f t="shared" si="78"/>
        <v>-0.49393860469163992</v>
      </c>
    </row>
    <row r="1244" spans="1:10" x14ac:dyDescent="0.25">
      <c r="A1244" s="5">
        <v>46266</v>
      </c>
      <c r="B1244">
        <f>(Prices!B16/Prices!B15)-1</f>
        <v>1.2933094384707244E-2</v>
      </c>
      <c r="C1244">
        <f>(Prices!C16/Prices!C15)-1</f>
        <v>1.2514470480220474E-2</v>
      </c>
      <c r="D1244">
        <f>(Prices!D16/Prices!D15)-1</f>
        <v>-2.1877848678213407E-2</v>
      </c>
      <c r="E1244">
        <f>(Prices!E16/Prices!E15)-1</f>
        <v>3.0145090857867096E-3</v>
      </c>
      <c r="F1244">
        <f>(Prices!F16/Prices!F15)-1</f>
        <v>-1.736613603473236E-2</v>
      </c>
      <c r="G1244">
        <f t="shared" si="76"/>
        <v>-2.1563821524462679E-3</v>
      </c>
      <c r="H1244" s="8">
        <f t="shared" si="79"/>
        <v>538853.71267812827</v>
      </c>
      <c r="I1244" s="8">
        <f t="shared" si="77"/>
        <v>1067100.1647020529</v>
      </c>
      <c r="J1244" s="13">
        <f t="shared" si="78"/>
        <v>-0.495029866452525</v>
      </c>
    </row>
    <row r="1245" spans="1:10" x14ac:dyDescent="0.25">
      <c r="A1245" s="6">
        <v>46267</v>
      </c>
      <c r="B1245">
        <f>(Prices!B15/Prices!B14)-1</f>
        <v>-6.2333036509348849E-3</v>
      </c>
      <c r="C1245">
        <f>(Prices!C15/Prices!C14)-1</f>
        <v>8.4537659514511976E-3</v>
      </c>
      <c r="D1245">
        <f>(Prices!D15/Prices!D14)-1</f>
        <v>2.4367956137678615E-3</v>
      </c>
      <c r="E1245">
        <f>(Prices!E15/Prices!E14)-1</f>
        <v>-3.5652125091236719E-3</v>
      </c>
      <c r="F1245">
        <f>(Prices!F15/Prices!F14)-1</f>
        <v>-8.40865033609417E-3</v>
      </c>
      <c r="G1245">
        <f t="shared" si="76"/>
        <v>-1.4633209861867336E-3</v>
      </c>
      <c r="H1245" s="8">
        <f t="shared" si="79"/>
        <v>538065.1967318817</v>
      </c>
      <c r="I1245" s="8">
        <f t="shared" si="77"/>
        <v>1067100.1647020529</v>
      </c>
      <c r="J1245" s="13">
        <f t="shared" si="78"/>
        <v>-0.49576879984634253</v>
      </c>
    </row>
    <row r="1246" spans="1:10" x14ac:dyDescent="0.25">
      <c r="A1246" s="5">
        <v>46268</v>
      </c>
      <c r="B1246">
        <f>(Prices!B14/Prices!B13)-1</f>
        <v>-1.566060889382348E-2</v>
      </c>
      <c r="C1246">
        <f>(Prices!C14/Prices!C13)-1</f>
        <v>-2.6072296714498622E-2</v>
      </c>
      <c r="D1246">
        <f>(Prices!D14/Prices!D13)-1</f>
        <v>1.1959805190802086E-2</v>
      </c>
      <c r="E1246">
        <f>(Prices!E14/Prices!E13)-1</f>
        <v>-1.6129923217146236E-2</v>
      </c>
      <c r="F1246">
        <f>(Prices!F14/Prices!F13)-1</f>
        <v>-3.212125774799901E-3</v>
      </c>
      <c r="G1246">
        <f t="shared" si="76"/>
        <v>-9.8230298818932308E-3</v>
      </c>
      <c r="H1246" s="8">
        <f t="shared" si="79"/>
        <v>532779.76622597768</v>
      </c>
      <c r="I1246" s="8">
        <f t="shared" si="77"/>
        <v>1067100.1647020529</v>
      </c>
      <c r="J1246" s="13">
        <f t="shared" si="78"/>
        <v>-0.50072187799283474</v>
      </c>
    </row>
    <row r="1247" spans="1:10" x14ac:dyDescent="0.25">
      <c r="A1247" s="6">
        <v>46269</v>
      </c>
      <c r="B1247">
        <f>(Prices!B13/Prices!B12)-1</f>
        <v>1.122732376056268E-2</v>
      </c>
      <c r="C1247">
        <f>(Prices!C13/Prices!C12)-1</f>
        <v>2.0852511506904259E-2</v>
      </c>
      <c r="D1247">
        <f>(Prices!D13/Prices!D12)-1</f>
        <v>1.7181915093748001E-2</v>
      </c>
      <c r="E1247">
        <f>(Prices!E13/Prices!E12)-1</f>
        <v>9.5360249832701083E-3</v>
      </c>
      <c r="F1247">
        <f>(Prices!F13/Prices!F12)-1</f>
        <v>9.576651212282572E-3</v>
      </c>
      <c r="G1247">
        <f t="shared" si="76"/>
        <v>1.3674885311353526E-2</v>
      </c>
      <c r="H1247" s="8">
        <f t="shared" si="79"/>
        <v>540065.46842532768</v>
      </c>
      <c r="I1247" s="8">
        <f t="shared" si="77"/>
        <v>1067100.1647020529</v>
      </c>
      <c r="J1247" s="13">
        <f t="shared" si="78"/>
        <v>-0.49389430693591885</v>
      </c>
    </row>
    <row r="1248" spans="1:10" x14ac:dyDescent="0.25">
      <c r="A1248" s="5">
        <v>46273</v>
      </c>
      <c r="B1248">
        <f>(Prices!B12/Prices!B11)-1</f>
        <v>2.955432084170706E-4</v>
      </c>
      <c r="C1248">
        <f>(Prices!C12/Prices!C11)-1</f>
        <v>1.1640854337483519E-2</v>
      </c>
      <c r="D1248">
        <f>(Prices!D12/Prices!D11)-1</f>
        <v>-7.4069463463214413E-3</v>
      </c>
      <c r="E1248">
        <f>(Prices!E12/Prices!E11)-1</f>
        <v>1.4511612118468964E-2</v>
      </c>
      <c r="F1248">
        <f>(Prices!F12/Prices!F11)-1</f>
        <v>-9.2371796480835711E-3</v>
      </c>
      <c r="G1248">
        <f t="shared" si="76"/>
        <v>1.9607767339929081E-3</v>
      </c>
      <c r="H1248" s="8">
        <f t="shared" si="79"/>
        <v>541124.41623064899</v>
      </c>
      <c r="I1248" s="8">
        <f t="shared" si="77"/>
        <v>1067100.1647020529</v>
      </c>
      <c r="J1248" s="13">
        <f t="shared" si="78"/>
        <v>-0.49290194666801745</v>
      </c>
    </row>
    <row r="1249" spans="1:10" x14ac:dyDescent="0.25">
      <c r="A1249" s="6">
        <v>46274</v>
      </c>
      <c r="B1249">
        <f>(Prices!B11/Prices!B10)-1</f>
        <v>2.331770754574336E-2</v>
      </c>
      <c r="C1249">
        <f>(Prices!C11/Prices!C10)-1</f>
        <v>4.6781246821925304E-3</v>
      </c>
      <c r="D1249">
        <f>(Prices!D11/Prices!D10)-1</f>
        <v>-2.1737806734457688E-2</v>
      </c>
      <c r="E1249">
        <f>(Prices!E11/Prices!E10)-1</f>
        <v>-3.3830453046149733E-3</v>
      </c>
      <c r="F1249">
        <f>(Prices!F11/Prices!F10)-1</f>
        <v>1.9813131959554697E-2</v>
      </c>
      <c r="G1249">
        <f t="shared" si="76"/>
        <v>4.5376224296835854E-3</v>
      </c>
      <c r="H1249" s="8">
        <f t="shared" si="79"/>
        <v>543579.83451898664</v>
      </c>
      <c r="I1249" s="8">
        <f t="shared" si="77"/>
        <v>1067100.1647020529</v>
      </c>
      <c r="J1249" s="13">
        <f t="shared" si="78"/>
        <v>-0.49060092716716935</v>
      </c>
    </row>
    <row r="1250" spans="1:10" x14ac:dyDescent="0.25">
      <c r="A1250" s="5">
        <v>46275</v>
      </c>
      <c r="B1250">
        <f>(Prices!B10/Prices!B9)-1</f>
        <v>-5.8628983764282827E-3</v>
      </c>
      <c r="C1250">
        <f>(Prices!C10/Prices!C9)-1</f>
        <v>-1.6042563561042833E-3</v>
      </c>
      <c r="D1250">
        <f>(Prices!D10/Prices!D9)-1</f>
        <v>-6.0521697028385057E-3</v>
      </c>
      <c r="E1250">
        <f>(Prices!E10/Prices!E9)-1</f>
        <v>3.2526303880529017E-3</v>
      </c>
      <c r="F1250">
        <f>(Prices!F10/Prices!F9)-1</f>
        <v>1.230888831303445E-2</v>
      </c>
      <c r="G1250">
        <f t="shared" si="76"/>
        <v>4.0843885314325581E-4</v>
      </c>
      <c r="H1250" s="8">
        <f t="shared" si="79"/>
        <v>543801.85364318942</v>
      </c>
      <c r="I1250" s="8">
        <f t="shared" si="77"/>
        <v>1067100.1647020529</v>
      </c>
      <c r="J1250" s="13">
        <f t="shared" si="78"/>
        <v>-0.49039286879406924</v>
      </c>
    </row>
    <row r="1251" spans="1:10" x14ac:dyDescent="0.25">
      <c r="A1251" s="6">
        <v>46276</v>
      </c>
      <c r="B1251">
        <f>(Prices!B9/Prices!B8)-1</f>
        <v>-1.742983751846372E-2</v>
      </c>
      <c r="C1251">
        <f>(Prices!C9/Prices!C8)-1</f>
        <v>-6.4362528499082305E-3</v>
      </c>
      <c r="D1251">
        <f>(Prices!D9/Prices!D8)-1</f>
        <v>-4.5785890716308897E-3</v>
      </c>
      <c r="E1251">
        <f>(Prices!E9/Prices!E8)-1</f>
        <v>-7.4951576228841077E-3</v>
      </c>
      <c r="F1251">
        <f>(Prices!F9/Prices!F8)-1</f>
        <v>2.4232290256655187E-2</v>
      </c>
      <c r="G1251">
        <f t="shared" si="76"/>
        <v>-2.3415093612463517E-3</v>
      </c>
      <c r="H1251" s="8">
        <f t="shared" si="79"/>
        <v>542528.53651222074</v>
      </c>
      <c r="I1251" s="8">
        <f t="shared" si="77"/>
        <v>1067100.1647020529</v>
      </c>
      <c r="J1251" s="13">
        <f t="shared" si="78"/>
        <v>-0.49158611866234586</v>
      </c>
    </row>
    <row r="1252" spans="1:10" x14ac:dyDescent="0.25">
      <c r="A1252" s="5">
        <v>46279</v>
      </c>
      <c r="B1252">
        <f>(Prices!B8/Prices!B7)-1</f>
        <v>-3.1168608145625165E-2</v>
      </c>
      <c r="C1252">
        <f>(Prices!C8/Prices!C7)-1</f>
        <v>-1.9350626224253653E-2</v>
      </c>
      <c r="D1252">
        <f>(Prices!D8/Prices!D7)-1</f>
        <v>5.5124787981584156E-3</v>
      </c>
      <c r="E1252">
        <f>(Prices!E8/Prices!E7)-1</f>
        <v>1.7422100362722404E-2</v>
      </c>
      <c r="F1252">
        <f>(Prices!F8/Prices!F7)-1</f>
        <v>-1.7676965193586303E-2</v>
      </c>
      <c r="G1252">
        <f t="shared" si="76"/>
        <v>-9.052324080516861E-3</v>
      </c>
      <c r="H1252" s="8">
        <f t="shared" si="79"/>
        <v>537617.39237678365</v>
      </c>
      <c r="I1252" s="8">
        <f t="shared" si="77"/>
        <v>1067100.1647020529</v>
      </c>
      <c r="J1252" s="13">
        <f t="shared" si="78"/>
        <v>-0.49618844588324768</v>
      </c>
    </row>
    <row r="1253" spans="1:10" x14ac:dyDescent="0.25">
      <c r="A1253" s="6">
        <v>46280</v>
      </c>
      <c r="B1253">
        <f>(Prices!B7/Prices!B6)-1</f>
        <v>1.2783349759406315E-2</v>
      </c>
      <c r="C1253">
        <f>(Prices!C7/Prices!C6)-1</f>
        <v>1.6676054071451674E-2</v>
      </c>
      <c r="D1253">
        <f>(Prices!D7/Prices!D6)-1</f>
        <v>-2.5041341837939934E-2</v>
      </c>
      <c r="E1253">
        <f>(Prices!E7/Prices!E6)-1</f>
        <v>-6.6952253964651653E-3</v>
      </c>
      <c r="F1253">
        <f>(Prices!F7/Prices!F6)-1</f>
        <v>2.0269731066953955E-2</v>
      </c>
      <c r="G1253">
        <f t="shared" si="76"/>
        <v>3.5985135326813684E-3</v>
      </c>
      <c r="H1253" s="8">
        <f t="shared" si="79"/>
        <v>539552.01583865634</v>
      </c>
      <c r="I1253" s="8">
        <f t="shared" si="77"/>
        <v>1067100.1647020529</v>
      </c>
      <c r="J1253" s="13">
        <f t="shared" si="78"/>
        <v>-0.49437547318783737</v>
      </c>
    </row>
    <row r="1254" spans="1:10" x14ac:dyDescent="0.25">
      <c r="A1254" s="5">
        <v>46281</v>
      </c>
      <c r="B1254">
        <f>(Prices!B6/Prices!B5)-1</f>
        <v>6.1539358940707611E-3</v>
      </c>
      <c r="C1254">
        <f>(Prices!C6/Prices!C5)-1</f>
        <v>1.3909851111564286E-2</v>
      </c>
      <c r="D1254">
        <f>(Prices!D6/Prices!D5)-1</f>
        <v>3.6737692872887528E-2</v>
      </c>
      <c r="E1254">
        <f>(Prices!E6/Prices!E5)-1</f>
        <v>1.0231571706981413E-2</v>
      </c>
      <c r="F1254">
        <f>(Prices!F6/Prices!F5)-1</f>
        <v>1.7854287693865878E-3</v>
      </c>
      <c r="G1254">
        <f t="shared" si="76"/>
        <v>1.3763696070978118E-2</v>
      </c>
      <c r="H1254" s="8">
        <f t="shared" si="79"/>
        <v>546978.24579914322</v>
      </c>
      <c r="I1254" s="8">
        <f t="shared" si="77"/>
        <v>1067100.1647020529</v>
      </c>
      <c r="J1254" s="13">
        <f t="shared" si="78"/>
        <v>-0.48741621087476261</v>
      </c>
    </row>
    <row r="1255" spans="1:10" x14ac:dyDescent="0.25">
      <c r="A1255" s="6">
        <v>46282</v>
      </c>
      <c r="B1255">
        <f>(Prices!B5/Prices!B4)-1</f>
        <v>-1.2840814211268814E-2</v>
      </c>
      <c r="C1255">
        <f>(Prices!C5/Prices!C4)-1</f>
        <v>-1.4967353088900071E-2</v>
      </c>
      <c r="D1255">
        <f>(Prices!D5/Prices!D4)-1</f>
        <v>3.0624119556543761E-4</v>
      </c>
      <c r="E1255">
        <f>(Prices!E5/Prices!E4)-1</f>
        <v>-1.1164867882396123E-3</v>
      </c>
      <c r="F1255">
        <f>(Prices!F5/Prices!F4)-1</f>
        <v>1.3325870845659615E-4</v>
      </c>
      <c r="G1255">
        <f t="shared" si="76"/>
        <v>-5.6970308368772928E-3</v>
      </c>
      <c r="H1255" s="8">
        <f t="shared" si="79"/>
        <v>543862.0938657244</v>
      </c>
      <c r="I1255" s="8">
        <f t="shared" si="77"/>
        <v>1067100.1647020529</v>
      </c>
      <c r="J1255" s="13">
        <f t="shared" si="78"/>
        <v>-0.4903364165278925</v>
      </c>
    </row>
    <row r="1256" spans="1:10" x14ac:dyDescent="0.25">
      <c r="A1256" s="5">
        <v>46283</v>
      </c>
      <c r="B1256">
        <f>(Prices!B4/Prices!B3)-1</f>
        <v>-6.3225954111117977E-3</v>
      </c>
      <c r="C1256">
        <f>(Prices!C4/Prices!C3)-1</f>
        <v>8.0400178217019391E-3</v>
      </c>
      <c r="D1256">
        <f>(Prices!D4/Prices!D3)-1</f>
        <v>-1.6509722392074044E-3</v>
      </c>
      <c r="E1256">
        <f>(Prices!E4/Prices!E3)-1</f>
        <v>-1.0295421397318316E-3</v>
      </c>
      <c r="F1256">
        <f>(Prices!F4/Prices!F3)-1</f>
        <v>-4.4839479968161733E-3</v>
      </c>
      <c r="G1256">
        <f t="shared" si="76"/>
        <v>-1.0894079930330535E-3</v>
      </c>
      <c r="H1256" s="8">
        <f t="shared" si="79"/>
        <v>543269.60615355941</v>
      </c>
      <c r="I1256" s="8">
        <f t="shared" si="77"/>
        <v>1067100.1647020529</v>
      </c>
      <c r="J1256" s="13">
        <f t="shared" si="78"/>
        <v>-0.49089164810948488</v>
      </c>
    </row>
    <row r="1257" spans="1:10" x14ac:dyDescent="0.25">
      <c r="J1257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3CB3-00A4-4CCA-8768-FE6C788FCBCC}">
  <dimension ref="B1:T15"/>
  <sheetViews>
    <sheetView topLeftCell="D1" zoomScaleNormal="100" workbookViewId="0">
      <selection activeCell="M19" sqref="M19"/>
    </sheetView>
  </sheetViews>
  <sheetFormatPr defaultRowHeight="15" x14ac:dyDescent="0.25"/>
  <cols>
    <col min="2" max="2" width="28.28515625" bestFit="1" customWidth="1"/>
    <col min="3" max="3" width="22" customWidth="1"/>
    <col min="5" max="5" width="22.42578125" bestFit="1" customWidth="1"/>
    <col min="6" max="6" width="10.85546875" bestFit="1" customWidth="1"/>
    <col min="7" max="7" width="10.140625" bestFit="1" customWidth="1"/>
    <col min="10" max="10" width="9.5703125" customWidth="1"/>
    <col min="11" max="11" width="19.42578125" customWidth="1"/>
    <col min="12" max="12" width="11.5703125" customWidth="1"/>
    <col min="13" max="17" width="12" bestFit="1" customWidth="1"/>
    <col min="19" max="19" width="12.140625" bestFit="1" customWidth="1"/>
  </cols>
  <sheetData>
    <row r="1" spans="2:20" x14ac:dyDescent="0.25">
      <c r="B1" s="2" t="s">
        <v>1275</v>
      </c>
      <c r="E1" s="2" t="s">
        <v>1273</v>
      </c>
      <c r="L1" s="2" t="s">
        <v>1272</v>
      </c>
      <c r="S1" s="2" t="s">
        <v>1274</v>
      </c>
    </row>
    <row r="2" spans="2:20" x14ac:dyDescent="0.25">
      <c r="B2" s="2" t="s">
        <v>1263</v>
      </c>
      <c r="C2" s="10" t="s">
        <v>1267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S2" t="s">
        <v>1271</v>
      </c>
      <c r="T2" t="s">
        <v>1264</v>
      </c>
    </row>
    <row r="3" spans="2:20" x14ac:dyDescent="0.25">
      <c r="B3" t="s">
        <v>1</v>
      </c>
      <c r="C3" s="11">
        <f>_xlfn.STDEV.S(Returns!B3:B1256)*SQRT(252)</f>
        <v>0.32111572631585122</v>
      </c>
      <c r="E3" t="s">
        <v>1</v>
      </c>
      <c r="F3" s="12">
        <v>1</v>
      </c>
      <c r="G3" s="12">
        <f>CORREL(Returns!B3:B1256,Returns!C3:C1256)</f>
        <v>0.55214558954526005</v>
      </c>
      <c r="H3" s="12">
        <f>CORREL(Returns!B3:B1256,Returns!D3:D1256)</f>
        <v>3.5548312579967857E-2</v>
      </c>
      <c r="I3" s="12">
        <f>CORREL(Returns!B3:B1256,Returns!E3:E1256)</f>
        <v>0.31264894428251588</v>
      </c>
      <c r="J3" s="12">
        <f>CORREL(Returns!B3:B1256,Returns!F3:F1256)</f>
        <v>0.10155407814867518</v>
      </c>
      <c r="L3" t="s">
        <v>1</v>
      </c>
      <c r="M3" s="12">
        <f>N3</f>
        <v>1.970552239022867E-4</v>
      </c>
      <c r="N3">
        <f>_xlfn.COVARIANCE.S(Returns!B3:B1256,Returns!C3:C1256)</f>
        <v>1.970552239022867E-4</v>
      </c>
      <c r="O3">
        <f>_xlfn.COVARIANCE.S(Returns!B3:B1256,Returns!D3:D1256)</f>
        <v>1.2106401046593469E-5</v>
      </c>
      <c r="P3">
        <f>_xlfn.COVARIANCE.S(Returns!B3:B1256,Returns!E3:E1256)</f>
        <v>9.7053914811884957E-5</v>
      </c>
      <c r="Q3">
        <f>_xlfn.COVARIANCE.S(Returns!B3:B1256,Returns!F3:F1256)</f>
        <v>4.4242777574935532E-5</v>
      </c>
      <c r="S3" t="s">
        <v>1</v>
      </c>
      <c r="T3" s="1">
        <v>0.2</v>
      </c>
    </row>
    <row r="4" spans="2:20" x14ac:dyDescent="0.25">
      <c r="B4" t="s">
        <v>2</v>
      </c>
      <c r="C4" s="11">
        <f>_xlfn.STDEV.S(Returns!C3:C1256)*SQRT(252)</f>
        <v>0.28007433312144686</v>
      </c>
      <c r="E4" t="s">
        <v>2</v>
      </c>
      <c r="F4" s="12">
        <f>CORREL(Returns!C3:C1256,Returns!B3:B1256)</f>
        <v>0.55214558954526005</v>
      </c>
      <c r="G4" s="12">
        <v>1</v>
      </c>
      <c r="H4" s="12">
        <v>0.05</v>
      </c>
      <c r="I4" s="12">
        <f>CORREL(Returns!C3:C1256,Returns!E3:E1256)</f>
        <v>0.29593630783837532</v>
      </c>
      <c r="J4" s="12">
        <f>CORREL(Returns!C3:C1256,Returns!F3:F1256)</f>
        <v>0.11417183425258731</v>
      </c>
      <c r="L4" t="s">
        <v>2</v>
      </c>
      <c r="M4">
        <f>_xlfn.COVARIANCE.S(Returns!B3:B1256,Returns!C3:C1256)</f>
        <v>1.970552239022867E-4</v>
      </c>
      <c r="N4" s="12">
        <f>_xlfn.COVARIANCE.S(Returns!C3:C1256,Returns!C3:C1256)</f>
        <v>3.1127631775167911E-4</v>
      </c>
      <c r="O4">
        <f>_xlfn.COVARIANCE.S(Returns!C3:C1256,Returns!D3:D1256)</f>
        <v>1.4447450349528385E-5</v>
      </c>
      <c r="P4">
        <f>_xlfn.COVARIANCE.S(Returns!C3:C1256,Returns!E3:E1256)</f>
        <v>8.0124637544413808E-5</v>
      </c>
      <c r="Q4">
        <f>_xlfn.COVARIANCE.S(Returns!C3:C1256,Returns!F3:F1256)</f>
        <v>4.3382615306160582E-5</v>
      </c>
      <c r="S4" t="s">
        <v>2</v>
      </c>
      <c r="T4" s="1">
        <v>0.2</v>
      </c>
    </row>
    <row r="5" spans="2:20" x14ac:dyDescent="0.25">
      <c r="B5" t="s">
        <v>3</v>
      </c>
      <c r="C5" s="11">
        <f>_xlfn.STDEV.S(Returns!D3:D1256)*SQRT(252)</f>
        <v>0.2672606571093134</v>
      </c>
      <c r="E5" t="s">
        <v>3</v>
      </c>
      <c r="F5" s="12">
        <v>0.04</v>
      </c>
      <c r="G5" s="12">
        <f>CORREL(Returns!C3:C1256,Returns!D3:D1256)</f>
        <v>4.8638862421776625E-2</v>
      </c>
      <c r="H5" s="12">
        <v>1</v>
      </c>
      <c r="I5" s="12">
        <f>CORREL(Returns!D3:D1256,Returns!E3:E1256)</f>
        <v>0.27041327513850305</v>
      </c>
      <c r="J5" s="12">
        <f>CORREL(Returns!D3:D1256,Returns!F3:F1256)</f>
        <v>6.8577959204269637E-2</v>
      </c>
      <c r="L5" t="s">
        <v>3</v>
      </c>
      <c r="M5">
        <f>_xlfn.COVARIANCE.S(Returns!B3:B1256,Returns!D3:D1256)</f>
        <v>1.2106401046593469E-5</v>
      </c>
      <c r="N5">
        <f>_xlfn.COVARIANCE.S(Returns!C3:C1256,Returns!D3:D1256)</f>
        <v>1.4447450349528385E-5</v>
      </c>
      <c r="O5" s="12">
        <f>_xlfn.COVARIANCE.S(Returns!D3:D1256,Returns!D3:D1256)</f>
        <v>2.8344547158135693E-4</v>
      </c>
      <c r="P5">
        <f>_xlfn.COVARIANCE.S(Returns!D3:D1256,Returns!E3:E1256)</f>
        <v>6.9864661029979879E-5</v>
      </c>
      <c r="Q5">
        <f>_xlfn.COVARIANCE.S(Returns!D3:D1256,Returns!F3:F1256)</f>
        <v>2.486583397484212E-5</v>
      </c>
      <c r="S5" t="s">
        <v>3</v>
      </c>
      <c r="T5" s="1">
        <v>0.2</v>
      </c>
    </row>
    <row r="6" spans="2:20" x14ac:dyDescent="0.25">
      <c r="B6" t="s">
        <v>4</v>
      </c>
      <c r="C6" s="11">
        <f>_xlfn.STDEV.S(Returns!E3:E1256)*SQRT(252)</f>
        <v>0.24360996927638481</v>
      </c>
      <c r="E6" t="s">
        <v>4</v>
      </c>
      <c r="F6" s="12">
        <v>0.31</v>
      </c>
      <c r="G6" s="12">
        <v>0.3</v>
      </c>
      <c r="H6" s="12" t="s">
        <v>1268</v>
      </c>
      <c r="I6" s="12">
        <v>1</v>
      </c>
      <c r="J6" s="12">
        <f>CORREL(Returns!E3:E1256,Returns!F3:F1256)</f>
        <v>0.15155142769669086</v>
      </c>
      <c r="L6" t="s">
        <v>4</v>
      </c>
      <c r="M6">
        <f>_xlfn.COVARIANCE.S(Returns!B3:B1256,Returns!E3:E1256)</f>
        <v>9.7053914811884957E-5</v>
      </c>
      <c r="N6">
        <f>_xlfn.COVARIANCE.S(Returns!C3:C1256,Returns!E3:E1256)</f>
        <v>8.0124637544413808E-5</v>
      </c>
      <c r="O6">
        <f>_xlfn.COVARIANCE.S(Returns!D3:D1256,Returns!E3:E1256)</f>
        <v>6.9864661029979879E-5</v>
      </c>
      <c r="P6" s="12">
        <v>0</v>
      </c>
      <c r="Q6">
        <f>_xlfn.COVARIANCE.S(Returns!E3:E1256,Returns!F3:F1256)</f>
        <v>5.0088558103342565E-5</v>
      </c>
      <c r="S6" t="s">
        <v>4</v>
      </c>
      <c r="T6" s="1">
        <v>0.2</v>
      </c>
    </row>
    <row r="7" spans="2:20" x14ac:dyDescent="0.25">
      <c r="B7" t="s">
        <v>5</v>
      </c>
      <c r="C7" s="11">
        <f>_xlfn.STDEV.S(Returns!F3:F1256)*SQRT(252)</f>
        <v>0.34188809757966199</v>
      </c>
      <c r="E7" t="s">
        <v>5</v>
      </c>
      <c r="F7" s="12">
        <v>0.1</v>
      </c>
      <c r="G7" s="12">
        <v>0.11</v>
      </c>
      <c r="H7" s="12">
        <v>7.0000000000000007E-2</v>
      </c>
      <c r="I7" s="12">
        <v>0.15</v>
      </c>
      <c r="J7" s="12">
        <v>1</v>
      </c>
      <c r="L7" t="s">
        <v>5</v>
      </c>
      <c r="M7">
        <f>_xlfn.COVARIANCE.S(Returns!B3:B1256,Returns!F3:F1256)</f>
        <v>4.4242777574935532E-5</v>
      </c>
      <c r="N7">
        <f>_xlfn.COVARIANCE.S(Returns!C3:C1256,Returns!F3:F1256)</f>
        <v>4.3382615306160582E-5</v>
      </c>
      <c r="O7">
        <f>_xlfn.COVARIANCE.S(Returns!D3:D1256,Returns!F3:F1256)</f>
        <v>2.486583397484212E-5</v>
      </c>
      <c r="P7">
        <f>_xlfn.COVARIANCE.S(Returns!E3:E1256,Returns!F3:F1256)</f>
        <v>5.0088558103342565E-5</v>
      </c>
      <c r="Q7" s="12">
        <v>0</v>
      </c>
      <c r="S7" t="s">
        <v>5</v>
      </c>
      <c r="T7" s="1">
        <v>0.2</v>
      </c>
    </row>
    <row r="9" spans="2:20" x14ac:dyDescent="0.25">
      <c r="B9" s="2" t="s">
        <v>1278</v>
      </c>
      <c r="C9" s="13"/>
      <c r="E9" t="s">
        <v>0</v>
      </c>
      <c r="F9" s="1" t="s">
        <v>1283</v>
      </c>
      <c r="G9" s="1" t="s">
        <v>1284</v>
      </c>
      <c r="I9" s="2" t="s">
        <v>1263</v>
      </c>
      <c r="J9" s="2" t="s">
        <v>1264</v>
      </c>
      <c r="K9" s="2" t="s">
        <v>1307</v>
      </c>
      <c r="L9" s="2" t="s">
        <v>1311</v>
      </c>
    </row>
    <row r="10" spans="2:20" x14ac:dyDescent="0.25">
      <c r="B10" t="s">
        <v>1270</v>
      </c>
      <c r="C10" s="13">
        <f>SQRT(SUMPRODUCT(T3:T7,MMULT(M3:Q7,T3:T7)))</f>
        <v>9.0735685604358754E-3</v>
      </c>
      <c r="D10" s="12"/>
      <c r="E10" s="12" t="s">
        <v>1280</v>
      </c>
      <c r="F10" s="8">
        <f>-_xlfn.PERCENTILE.INC(Returns!G3:G1256,0.05)*1000000</f>
        <v>16642.359595001133</v>
      </c>
      <c r="G10" s="8">
        <f>-_xlfn.PERCENTILE.INC(Returns!G3:G1256,0.01)*1000000</f>
        <v>28114.054992348043</v>
      </c>
      <c r="I10" t="s">
        <v>1</v>
      </c>
      <c r="J10" s="1">
        <v>0.2</v>
      </c>
      <c r="K10" s="13">
        <f>L10/SUM($L$10:$L$14)</f>
        <v>0.26601039360168804</v>
      </c>
      <c r="L10">
        <f>J10*(M3*$J$10+N3*$J$11+O3*$J$12+P3*$J$13+Q3*$J$14)</f>
        <v>2.1900541649519498E-5</v>
      </c>
    </row>
    <row r="11" spans="2:20" x14ac:dyDescent="0.25">
      <c r="B11" t="s">
        <v>1269</v>
      </c>
      <c r="C11" s="13">
        <f>C10*SQRT(252)</f>
        <v>0.14403843548884601</v>
      </c>
      <c r="D11" s="12"/>
      <c r="E11" s="12" t="s">
        <v>1281</v>
      </c>
      <c r="F11" s="8">
        <f>1.645*C10*1000000</f>
        <v>14926.020281917015</v>
      </c>
      <c r="G11" s="8">
        <f>2.326*C10*1000000</f>
        <v>21105.120471573846</v>
      </c>
      <c r="I11" t="s">
        <v>2</v>
      </c>
      <c r="J11" s="1">
        <v>0.2</v>
      </c>
      <c r="K11" s="13">
        <f t="shared" ref="K11:K14" si="0">L11/SUM($L$10:$L$14)</f>
        <v>0.31399928115797943</v>
      </c>
      <c r="L11">
        <f>J11*(M4*$J$10+N4*$J$11+O4*$J$12+P4*$J$13+Q4*$J$14)</f>
        <v>2.5851449794162752E-5</v>
      </c>
    </row>
    <row r="12" spans="2:20" x14ac:dyDescent="0.25">
      <c r="B12" t="s">
        <v>1279</v>
      </c>
      <c r="C12" s="13">
        <f>MIN(Returns!J2:J1255)</f>
        <v>-0.50372572815592109</v>
      </c>
      <c r="D12" s="12"/>
      <c r="E12" s="12" t="s">
        <v>1282</v>
      </c>
      <c r="F12" s="8">
        <f>-AVERAGEIF(Returns!G3:G1256,"&lt;"&amp;_xlfn.PERCENTILE.INC(Returns!G3:G1256,0.05),Returns!G3:G1256)*1000000</f>
        <v>24215.283055881602</v>
      </c>
      <c r="G12" s="8">
        <f>-AVERAGEIF(Returns!G3:G1256,"&lt;"&amp;_xlfn.PERCENTILE.INC(Returns!G3:G1256,0.01),Returns!G3:G1256)*1000000</f>
        <v>36962.571130929529</v>
      </c>
      <c r="I12" t="s">
        <v>3</v>
      </c>
      <c r="J12" s="1">
        <v>0.2</v>
      </c>
      <c r="K12" s="13">
        <f t="shared" si="0"/>
        <v>0.19663867662592452</v>
      </c>
      <c r="L12">
        <f>J12*(M5*$J$10+N5*$J$11+O5*$J$12+P5*$J$13+Q5*$J$14)</f>
        <v>1.6189192719292033E-5</v>
      </c>
    </row>
    <row r="13" spans="2:20" x14ac:dyDescent="0.25">
      <c r="B13" s="9"/>
      <c r="C13" s="8"/>
      <c r="D13" s="12"/>
      <c r="E13" s="12"/>
      <c r="F13" s="12"/>
      <c r="G13" s="12"/>
      <c r="I13" t="s">
        <v>4</v>
      </c>
      <c r="J13" s="1">
        <v>0.2</v>
      </c>
      <c r="K13" s="13">
        <f t="shared" si="0"/>
        <v>0.14436198108781503</v>
      </c>
      <c r="L13">
        <f>J13*(M6*$J$10+N6*$J$11+O6*$J$12+P6*$J$13+Q6*$J$14)</f>
        <v>1.188527085958485E-5</v>
      </c>
    </row>
    <row r="14" spans="2:20" x14ac:dyDescent="0.25">
      <c r="B14" s="9"/>
      <c r="C14" s="8"/>
      <c r="D14" s="12"/>
      <c r="E14" s="12"/>
      <c r="F14" s="12"/>
      <c r="G14" s="12"/>
      <c r="I14" t="s">
        <v>5</v>
      </c>
      <c r="J14" s="1">
        <v>0.2</v>
      </c>
      <c r="K14" s="13">
        <f t="shared" si="0"/>
        <v>7.8989667526592824E-2</v>
      </c>
      <c r="L14">
        <f>J14*(M7*$J$10+N7*$J$11+O7*$J$12+P7*$J$13+Q7*$J$14)</f>
        <v>6.5031913983712336E-6</v>
      </c>
    </row>
    <row r="15" spans="2:20" x14ac:dyDescent="0.25">
      <c r="B15" s="9"/>
      <c r="I15" s="2" t="s">
        <v>1310</v>
      </c>
      <c r="J15" s="25">
        <v>1</v>
      </c>
      <c r="K15" s="25">
        <v>1</v>
      </c>
    </row>
  </sheetData>
  <pageMargins left="0.7" right="0.7" top="0.75" bottom="0.75" header="0.3" footer="0.3"/>
  <pageSetup paperSize="9" orientation="portrait" horizontalDpi="300" verticalDpi="300" r:id="rId1"/>
  <ignoredErrors>
    <ignoredError sqref="F10:G10 F12:G12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F668-1FC2-421A-9680-6B130F995397}">
  <dimension ref="B2:I8"/>
  <sheetViews>
    <sheetView workbookViewId="0">
      <selection activeCell="D15" sqref="D15"/>
    </sheetView>
  </sheetViews>
  <sheetFormatPr defaultRowHeight="15" x14ac:dyDescent="0.25"/>
  <cols>
    <col min="2" max="2" width="21" bestFit="1" customWidth="1"/>
    <col min="3" max="3" width="9.85546875" customWidth="1"/>
    <col min="8" max="8" width="18" customWidth="1"/>
    <col min="9" max="9" width="11.85546875" bestFit="1" customWidth="1"/>
  </cols>
  <sheetData>
    <row r="2" spans="2:9" x14ac:dyDescent="0.25">
      <c r="B2" t="s">
        <v>1285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1291</v>
      </c>
      <c r="I2" t="s">
        <v>1292</v>
      </c>
    </row>
    <row r="3" spans="2:9" x14ac:dyDescent="0.25">
      <c r="B3" t="s">
        <v>1286</v>
      </c>
      <c r="C3" s="1">
        <v>-0.05</v>
      </c>
      <c r="D3" s="1">
        <v>-0.05</v>
      </c>
      <c r="E3" s="1">
        <v>-0.05</v>
      </c>
      <c r="F3" s="1">
        <v>-0.05</v>
      </c>
      <c r="G3" s="1">
        <v>-0.05</v>
      </c>
      <c r="H3" s="13">
        <f>SUM(C3:G3)*20%</f>
        <v>-0.05</v>
      </c>
      <c r="I3" s="8">
        <f>H3*1000000</f>
        <v>-50000</v>
      </c>
    </row>
    <row r="4" spans="2:9" x14ac:dyDescent="0.25">
      <c r="B4" t="s">
        <v>1293</v>
      </c>
      <c r="C4" s="1">
        <v>-0.1</v>
      </c>
      <c r="D4" s="1">
        <v>-0.1</v>
      </c>
      <c r="E4" s="1">
        <v>-0.1</v>
      </c>
      <c r="F4" s="1">
        <v>-0.1</v>
      </c>
      <c r="G4" s="1">
        <v>-0.1</v>
      </c>
      <c r="H4" s="13">
        <f t="shared" ref="H4:H8" si="0">SUM(C4:G4)*20%</f>
        <v>-0.1</v>
      </c>
      <c r="I4" s="8">
        <f t="shared" ref="I4:I8" si="1">H4*1000000</f>
        <v>-100000</v>
      </c>
    </row>
    <row r="5" spans="2:9" x14ac:dyDescent="0.25">
      <c r="B5" t="s">
        <v>1287</v>
      </c>
      <c r="C5" s="1">
        <v>-0.2</v>
      </c>
      <c r="D5" s="1">
        <v>-0.2</v>
      </c>
      <c r="E5" s="1">
        <v>-0.2</v>
      </c>
      <c r="F5" s="1">
        <v>-0.2</v>
      </c>
      <c r="G5" s="1">
        <v>-0.2</v>
      </c>
      <c r="H5" s="13">
        <f t="shared" si="0"/>
        <v>-0.2</v>
      </c>
      <c r="I5" s="8">
        <f t="shared" si="1"/>
        <v>-200000</v>
      </c>
    </row>
    <row r="6" spans="2:9" x14ac:dyDescent="0.25">
      <c r="B6" t="s">
        <v>1288</v>
      </c>
      <c r="C6" s="1">
        <v>-0.25</v>
      </c>
      <c r="D6" s="1">
        <v>-0.2</v>
      </c>
      <c r="E6" s="1">
        <v>-0.05</v>
      </c>
      <c r="F6" s="1">
        <v>-0.05</v>
      </c>
      <c r="G6" s="1">
        <v>-0.05</v>
      </c>
      <c r="H6" s="13">
        <f t="shared" si="0"/>
        <v>-0.12000000000000002</v>
      </c>
      <c r="I6" s="8">
        <f t="shared" si="1"/>
        <v>-120000.00000000003</v>
      </c>
    </row>
    <row r="7" spans="2:9" x14ac:dyDescent="0.25">
      <c r="B7" t="s">
        <v>1289</v>
      </c>
      <c r="C7" s="1">
        <v>-0.05</v>
      </c>
      <c r="D7" s="1">
        <v>-0.05</v>
      </c>
      <c r="E7" s="1">
        <v>-0.3</v>
      </c>
      <c r="F7" s="1">
        <v>-0.05</v>
      </c>
      <c r="G7" s="1">
        <v>-0.05</v>
      </c>
      <c r="H7" s="13">
        <f t="shared" si="0"/>
        <v>-0.1</v>
      </c>
      <c r="I7" s="8">
        <f t="shared" si="1"/>
        <v>-100000</v>
      </c>
    </row>
    <row r="8" spans="2:9" x14ac:dyDescent="0.25">
      <c r="B8" t="s">
        <v>1290</v>
      </c>
      <c r="C8" s="1">
        <v>-0.05</v>
      </c>
      <c r="D8" s="1">
        <v>-0.05</v>
      </c>
      <c r="E8" s="1">
        <v>-0.05</v>
      </c>
      <c r="F8" s="1">
        <v>-0.3</v>
      </c>
      <c r="G8" s="1">
        <v>-0.05</v>
      </c>
      <c r="H8" s="13">
        <f t="shared" si="0"/>
        <v>-0.1</v>
      </c>
      <c r="I8" s="8">
        <f t="shared" si="1"/>
        <v>-100000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A1077DDBA70438ABCC8E596FA1AD8" ma:contentTypeVersion="4" ma:contentTypeDescription="Create a new document." ma:contentTypeScope="" ma:versionID="7e70e40f6987e9d8b881f54bb3fd30fa">
  <xsd:schema xmlns:xsd="http://www.w3.org/2001/XMLSchema" xmlns:xs="http://www.w3.org/2001/XMLSchema" xmlns:p="http://schemas.microsoft.com/office/2006/metadata/properties" xmlns:ns3="11818d38-4ac0-46d9-8bd6-38b630f76e4a" targetNamespace="http://schemas.microsoft.com/office/2006/metadata/properties" ma:root="true" ma:fieldsID="ed108c2f581bf6906d3f03aa3c7faa33" ns3:_="">
    <xsd:import namespace="11818d38-4ac0-46d9-8bd6-38b630f76e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18d38-4ac0-46d9-8bd6-38b630f76e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3C74E2-930E-44ED-8DA9-B67FA8C61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18d38-4ac0-46d9-8bd6-38b630f76e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E0FF1D-1CB4-42DF-9F76-1495C50250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B9E70-9D0A-4DB7-805F-EF8E9DCF1E2B}">
  <ds:schemaRefs>
    <ds:schemaRef ds:uri="http://schemas.microsoft.com/office/2006/metadata/properties"/>
    <ds:schemaRef ds:uri="http://www.w3.org/XML/1998/namespace"/>
    <ds:schemaRef ds:uri="11818d38-4ac0-46d9-8bd6-38b630f76e4a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Inputs</vt:lpstr>
      <vt:lpstr>Prices</vt:lpstr>
      <vt:lpstr>Returns</vt:lpstr>
      <vt:lpstr>Risk Analysis</vt:lpstr>
      <vt:lpstr>Stress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Storey</dc:creator>
  <cp:lastModifiedBy>Joe Storey</cp:lastModifiedBy>
  <dcterms:created xsi:type="dcterms:W3CDTF">2026-09-20T15:41:08Z</dcterms:created>
  <dcterms:modified xsi:type="dcterms:W3CDTF">2026-09-20T22:22:23Z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0x010100CD1A1077DDBA70438ABCC8E596FA1AD8</vt:lpwstr>
  </property>
</Properties>
</file>